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5.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6.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7.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tables/table8.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SAR_ZAAKAN\_الأعمال\التعديات - جديد\"/>
    </mc:Choice>
  </mc:AlternateContent>
  <xr:revisionPtr revIDLastSave="0" documentId="13_ncr:1_{669BE23B-60C4-4BCA-99BB-6E0BE12B4CAB}" xr6:coauthVersionLast="47" xr6:coauthVersionMax="47" xr10:uidLastSave="{00000000-0000-0000-0000-000000000000}"/>
  <bookViews>
    <workbookView xWindow="28680" yWindow="-120" windowWidth="29040" windowHeight="15720" activeTab="1" xr2:uid="{EC82178F-BA0D-48A2-9D0B-59D3E9B0E20F}"/>
  </bookViews>
  <sheets>
    <sheet name="العقود المنتهية" sheetId="1" r:id="rId1"/>
    <sheet name="وضع اليد" sheetId="2" r:id="rId2"/>
    <sheet name="لدى القانونية" sheetId="5" r:id="rId3"/>
    <sheet name="خطابات 2026" sheetId="4" r:id="rId4"/>
    <sheet name="محضر معاينة السهيمي" sheetId="3" r:id="rId5"/>
    <sheet name="وضع اليد - ملاحظات اجتماع 22-9-" sheetId="6" r:id="rId6"/>
    <sheet name="إجتماع مع القانونية"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300" i="6" l="1"/>
  <c r="I57" i="6"/>
  <c r="C57" i="6"/>
  <c r="B57" i="6"/>
  <c r="C57" i="2"/>
  <c r="C42" i="5"/>
  <c r="G42" i="5"/>
  <c r="G32" i="5"/>
  <c r="B57" i="2"/>
  <c r="H57" i="2"/>
  <c r="H300" i="2"/>
  <c r="A47" i="4"/>
  <c r="G47" i="3"/>
  <c r="H58" i="1"/>
  <c r="A58" i="1"/>
  <c r="L5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tc={BE299951-5725-4C5C-88A0-F0C9C5204633}</author>
    <author>tc={1DDF3E0F-DF80-45B3-96F3-84D295C3AA92}</author>
    <author>tc={B9EEC636-CE82-46F8-8716-D3CAE7D30BE5}</author>
    <author>tc={288E42BA-1BF4-4B58-A9F2-9743B9D6FCCD}</author>
    <author>tc={6003846F-4C10-4748-80D0-5FA42DB6CAF5}</author>
    <author>tc={FC704857-05D3-4121-ABEB-9B437728FF0A}</author>
    <author>tc={38BAD3D1-1F15-4063-B1CA-C3D9A3058732}</author>
    <author>tc={E51F488E-B75A-493A-8844-9FB95D3F2CF6}</author>
    <author>tc={14EECC58-E0BF-4AAB-83D3-90B54A9E0B65}</author>
    <author>tc={9EA620F8-54F3-4CF1-A64B-5670B5B0923D}</author>
    <author>tc={E4D7F26E-83AA-476E-99BE-E972AA190B99}</author>
    <author>tc={D739323B-8041-42E5-9B44-A8DDCC990076}</author>
    <author>tc={3628CED3-68E6-439F-8078-AC7EE834FB6B}</author>
    <author>tc={ECDFCF7D-7860-4F61-B636-22229B02C54D}</author>
    <author>tc={C366DBA5-F443-4C1E-93B1-3A6799A8C5F9}</author>
    <author>tc={685D9F34-DD77-444A-AA14-3DAED634B391}</author>
    <author>tc={FE24BAED-EEEE-4AE3-B917-B789D0C3E2C2}</author>
    <author>tc={EBD35CFE-F584-49E0-8983-B25996F82999}</author>
    <author>tc={1D49B399-A246-4E54-A970-F048A6A2C84D}</author>
    <author>tc={4E573793-89AA-4915-BF23-6D79B2C7AF2D}</author>
    <author>tc={0BC2E83D-7731-47DD-992A-C32D801EE381}</author>
    <author>tc={EB9ABC0E-9E9A-4886-AEF5-24443F11454B}</author>
    <author>tc={34028D37-AD57-45A5-A980-C668974FEE4C}</author>
    <author>tc={2BE6D033-1968-4D2B-AFDB-394DBFB4A5E6}</author>
    <author>tc={07A95B54-67DA-4DD1-B14E-A358320D32D8}</author>
    <author>tc={5F1F311B-198F-4FD1-BC75-62CD63F08904}</author>
    <author>tc={B349DF3C-B0E4-44A7-884F-74206CD24C59}</author>
  </authors>
  <commentList>
    <comment ref="D3" authorId="0" shapeId="0" xr:uid="{BE299951-5725-4C5C-88A0-F0C9C5204633}">
      <text>
        <t>[Threaded comment]
Your version of Excel allows you to read this threaded comment; however, any edits to it will get removed if the file is opened in a newer version of Excel. Learn more: https://go.microsoft.com/fwlink/?linkid=870924
Comment:
    تم تسجيل واقعة أيجارية
Reply:
    تم ارسالها إلى القانونية عن طريق الإيميل</t>
      </text>
    </comment>
    <comment ref="D19" authorId="1" shapeId="0" xr:uid="{1DDF3E0F-DF80-45B3-96F3-84D295C3AA92}">
      <text>
        <t xml:space="preserve">[Threaded comment]
Your version of Excel allows you to read this threaded comment; however, any edits to it will get removed if the file is opened in a newer version of Excel. Learn more: https://go.microsoft.com/fwlink/?linkid=870924
Comment:
    في انتظار تسجيل الواقعة الايجارية
Reply:
    لم يتم أتخاذ اي إجراء آخر في عام 2026 حتى الأن 
Reply:
    لن يتم تسجيلها كواقعة إيجارية بسبب شطب السجل- وسيتم تحويلها للقانونية </t>
      </text>
    </comment>
    <comment ref="D20" authorId="2" shapeId="0" xr:uid="{B9EEC636-CE82-46F8-8716-D3CAE7D30BE5}">
      <text>
        <t>[Threaded comment]
Your version of Excel allows you to read this threaded comment; however, any edits to it will get removed if the file is opened in a newer version of Excel. Learn more: https://go.microsoft.com/fwlink/?linkid=870924
Comment:
    بإنتظار تسجيلها كواقعة إيجارية
Reply:
    تم التسجيل</t>
      </text>
    </comment>
    <comment ref="H20" authorId="3" shapeId="0" xr:uid="{288E42BA-1BF4-4B58-A9F2-9743B9D6FCCD}">
      <text>
        <t>[Threaded comment]
Your version of Excel allows you to read this threaded comment; however, any edits to it will get removed if the file is opened in a newer version of Excel. Learn more: https://go.microsoft.com/fwlink/?linkid=870924
Comment:
    بانتظار التوثيق
Reply:
    تم التوثيق</t>
      </text>
    </comment>
    <comment ref="D21" authorId="4" shapeId="0" xr:uid="{6003846F-4C10-4748-80D0-5FA42DB6CAF5}">
      <text>
        <t>[Threaded comment]
Your version of Excel allows you to read this threaded comment; however, any edits to it will get removed if the file is opened in a newer version of Excel. Learn more: https://go.microsoft.com/fwlink/?linkid=870924
Comment:
    بإنتظار تسجيل  الواقعة الأيجارية</t>
      </text>
    </comment>
    <comment ref="H21" authorId="5" shapeId="0" xr:uid="{FC704857-05D3-4121-ABEB-9B437728FF0A}">
      <text>
        <t>[Threaded comment]
Your version of Excel allows you to read this threaded comment; however, any edits to it will get removed if the file is opened in a newer version of Excel. Learn more: https://go.microsoft.com/fwlink/?linkid=870924
Comment:
    30440523506</t>
      </text>
    </comment>
    <comment ref="D22" authorId="6" shapeId="0" xr:uid="{38BAD3D1-1F15-4063-B1CA-C3D9A3058732}">
      <text>
        <t>[Threaded comment]
Your version of Excel allows you to read this threaded comment; however, any edits to it will get removed if the file is opened in a newer version of Excel. Learn more: https://go.microsoft.com/fwlink/?linkid=870924
Comment:
    بانتظار تسجيل واقعة أيجارية</t>
      </text>
    </comment>
    <comment ref="H22" authorId="7" shapeId="0" xr:uid="{E51F488E-B75A-493A-8844-9FB95D3F2CF6}">
      <text>
        <t>[Threaded comment]
Your version of Excel allows you to read this threaded comment; however, any edits to it will get removed if the file is opened in a newer version of Excel. Learn more: https://go.microsoft.com/fwlink/?linkid=870924
Comment:
    بإنتظار رد القانونية على مسمى المؤسسة</t>
      </text>
    </comment>
    <comment ref="D23" authorId="8" shapeId="0" xr:uid="{14EECC58-E0BF-4AAB-83D3-90B54A9E0B65}">
      <text>
        <t>[Threaded comment]
Your version of Excel allows you to read this threaded comment; however, any edits to it will get removed if the file is opened in a newer version of Excel. Learn more: https://go.microsoft.com/fwlink/?linkid=870924
Comment:
    بانتظار التسجيل كواقعة أيجارية
Reply:
    لم يتم أتخاذ أجراء آخر 2026</t>
      </text>
    </comment>
    <comment ref="D25" authorId="9" shapeId="0" xr:uid="{9EA620F8-54F3-4CF1-A64B-5670B5B0923D}">
      <text>
        <t>[Threaded comment]
Your version of Excel allows you to read this threaded comment; however, any edits to it will get removed if the file is opened in a newer version of Excel. Learn more: https://go.microsoft.com/fwlink/?linkid=870924
Comment:
    تم تسجيل واقعة أيجارية بإسم الشخص وليس المؤسسة
Reply:
    بإنتظار تعديل الواقعة الإيجارية مع نفوذ
Reply:
    تم ارسال المستخرج التجاري إلى القانونية بدلا من انشاء واقعة جديدية</t>
      </text>
    </comment>
    <comment ref="D26" authorId="10" shapeId="0" xr:uid="{E4D7F26E-83AA-476E-99BE-E972AA190B99}">
      <text>
        <t>[Threaded comment]
Your version of Excel allows you to read this threaded comment; however, any edits to it will get removed if the file is opened in a newer version of Excel. Learn more: https://go.microsoft.com/fwlink/?linkid=870924
Comment:
    تم تسجيل واقعة أيجارية وأرسالها للقانونية</t>
      </text>
    </comment>
    <comment ref="M26" authorId="11" shapeId="0" xr:uid="{D739323B-8041-42E5-9B44-A8DDCC990076}">
      <text>
        <t>[Threaded comment]
Your version of Excel allows you to read this threaded comment; however, any edits to it will get removed if the file is opened in a newer version of Excel. Learn more: https://go.microsoft.com/fwlink/?linkid=870924
Comment:
    تم الرد على الادارة القانونية أن السجل المسجل في الواقعة الايجارية صحيح</t>
      </text>
    </comment>
    <comment ref="D27" authorId="12" shapeId="0" xr:uid="{3628CED3-68E6-439F-8078-AC7EE834FB6B}">
      <text>
        <t>[Threaded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t>
      </text>
    </comment>
    <comment ref="D28" authorId="13" shapeId="0" xr:uid="{ECDFCF7D-7860-4F61-B636-22229B02C54D}">
      <text>
        <t xml:space="preserve">[Threaded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
</t>
      </text>
    </comment>
    <comment ref="E28" authorId="14" shapeId="0" xr:uid="{C366DBA5-F443-4C1E-93B1-3A6799A8C5F9}">
      <text>
        <t xml:space="preserve">[Threaded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
</t>
      </text>
    </comment>
    <comment ref="M29" authorId="15" shapeId="0" xr:uid="{685D9F34-DD77-444A-AA14-3DAED634B391}">
      <text>
        <t>[Threaded comment]
Your version of Excel allows you to read this threaded comment; however, any edits to it will get removed if the file is opened in a newer version of Excel. Learn more: https://go.microsoft.com/fwlink/?linkid=870924
Comment:
    تم استلام الارض بتاريخ 27-9-2026</t>
      </text>
    </comment>
    <comment ref="M31" authorId="16" shapeId="0" xr:uid="{FE24BAED-EEEE-4AE3-B917-B789D0C3E2C2}">
      <text>
        <t>[Threaded comment]
Your version of Excel allows you to read this threaded comment; however, any edits to it will get removed if the file is opened in a newer version of Excel. Learn more: https://go.microsoft.com/fwlink/?linkid=870924
Comment:
    للتاكد من صحة الصك</t>
      </text>
    </comment>
    <comment ref="M32" authorId="17" shapeId="0" xr:uid="{EBD35CFE-F584-49E0-8983-B25996F82999}">
      <text>
        <t>[Threaded comment]
Your version of Excel allows you to read this threaded comment; however, any edits to it will get removed if the file is opened in a newer version of Excel. Learn more: https://go.microsoft.com/fwlink/?linkid=870924
Comment:
    لتاكد من صحة الصك</t>
      </text>
    </comment>
    <comment ref="H33" authorId="18" shapeId="0" xr:uid="{1D49B399-A246-4E54-A970-F048A6A2C84D}">
      <text>
        <t>[Threaded comment]
Your version of Excel allows you to read this threaded comment; however, any edits to it will get removed if the file is opened in a newer version of Excel. Learn more: https://go.microsoft.com/fwlink/?linkid=870924
Comment:
    بانتظار توثيق الواقعة
Reply:
    تم التوثيق</t>
      </text>
    </comment>
    <comment ref="M34" authorId="19" shapeId="0" xr:uid="{4E573793-89AA-4915-BF23-6D79B2C7AF2D}">
      <text>
        <t>[Threaded comment]
Your version of Excel allows you to read this threaded comment; however, any edits to it will get removed if the file is opened in a newer version of Excel. Learn more: https://go.microsoft.com/fwlink/?linkid=870924
Comment:
    لتعديل الصك</t>
      </text>
    </comment>
    <comment ref="M35" authorId="20" shapeId="0" xr:uid="{0BC2E83D-7731-47DD-992A-C32D801EE381}">
      <text>
        <t>[Threaded comment]
Your version of Excel allows you to read this threaded comment; however, any edits to it will get removed if the file is opened in a newer version of Excel. Learn more: https://go.microsoft.com/fwlink/?linkid=870924
Comment:
    لتعديل الصك</t>
      </text>
    </comment>
    <comment ref="H36" authorId="21" shapeId="0" xr:uid="{EB9ABC0E-9E9A-4886-AEF5-24443F11454B}">
      <text>
        <t xml:space="preserve">[Threaded comment]
Your version of Excel allows you to read this threaded comment; however, any edits to it will get removed if the file is opened in a newer version of Excel. Learn more: https://go.microsoft.com/fwlink/?linkid=870924
Comment:
    بإنتظار توثيق الواقعة
Reply:
    تم التوثيق 30934764079 </t>
      </text>
    </comment>
    <comment ref="D38" authorId="22" shapeId="0" xr:uid="{34028D37-AD57-45A5-A980-C668974FEE4C}">
      <text>
        <t xml:space="preserve">[Threaded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
</t>
      </text>
    </comment>
    <comment ref="D39" authorId="23" shapeId="0" xr:uid="{2BE6D033-1968-4D2B-AFDB-394DBFB4A5E6}">
      <text>
        <t xml:space="preserve">[Threaded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
</t>
      </text>
    </comment>
    <comment ref="M45" authorId="24" shapeId="0" xr:uid="{07A95B54-67DA-4DD1-B14E-A358320D32D8}">
      <text>
        <t>[Threaded comment]
Your version of Excel allows you to read this threaded comment; however, any edits to it will get removed if the file is opened in a newer version of Excel. Learn more: https://go.microsoft.com/fwlink/?linkid=870924
Comment:
    تم تعديل السجل التجاري عن طريق انشاء واقعة جديدية</t>
      </text>
    </comment>
    <comment ref="D47" authorId="25" shapeId="0" xr:uid="{5F1F311B-198F-4FD1-BC75-62CD63F08904}">
      <text>
        <t xml:space="preserve">[Threaded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
</t>
      </text>
    </comment>
    <comment ref="M55" authorId="26" shapeId="0" xr:uid="{B349DF3C-B0E4-44A7-884F-74206CD24C59}">
      <text>
        <t>[Threaded comment]
Your version of Excel allows you to read this threaded comment; however, any edits to it will get removed if the file is opened in a newer version of Excel. Learn more: https://go.microsoft.com/fwlink/?linkid=870924
Comment:
    لتاكد من صحة الصك</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tc={F03BA9CC-A085-4402-B3FA-5A6285B98047}</author>
    <author>tc={81CFE987-00CF-45F6-94A4-5CAD56715623}</author>
    <author>tc={D5F9E967-ADCE-4F04-89BE-4D5F25DEB2F3}</author>
    <author>tc={92F8B6C9-9298-44CC-8267-4A33D6A3A3A5}</author>
    <author>tc={3465044C-287D-44FD-9D1B-1652A2110414}</author>
    <author>tc={008D68AD-4897-46D7-BA66-23C1AC9B3829}</author>
    <author>tc={BE0565A0-00DC-4C02-BB99-3EBABD09BEB6}</author>
    <author>tc={2FDBE4D3-E4B6-4803-9E48-C7E4A7923AE5}</author>
    <author>tc={70BC2077-31DE-4ECB-9914-C0B976BFD4CA}</author>
    <author>tc={27F09AE8-7425-41BF-A979-6AA9DC336C33}</author>
    <author>tc={716C8D69-4C68-43DB-8C66-45E137F1F7C7}</author>
    <author>tc={22AC9F06-E4FC-407E-B10A-D9AB6C27B017}</author>
    <author>tc={289A728C-6F45-4B9D-978A-D4E812F2809D}</author>
    <author>tc={AB7159ED-CCC1-4F1A-B598-D7DABC936C31}</author>
    <author>tc={DB63CF03-0B04-4137-AE9E-EF91BC04B8AE}</author>
    <author>tc={42ED800D-FA13-4316-972F-3BEFA0D27AA2}</author>
    <author>tc={636B82D6-4238-40AB-8C8E-CEE93B427313}</author>
    <author>tc={E35A8A0A-784A-4038-A0B9-C727BCA0C972}</author>
    <author>tc={EBFE378F-3C7A-4539-A09E-21894FEAC896}</author>
    <author>tc={016C8F0C-F863-4470-B297-BF16CE3C4109}</author>
    <author>tc={07859195-E0C6-444D-885E-6B0AACE83365}</author>
    <author>tc={F1FDB0FA-A644-473E-9821-1F6D5CB3790F}</author>
  </authors>
  <commentList>
    <comment ref="D10" authorId="0" shapeId="0" xr:uid="{F03BA9CC-A085-4402-B3FA-5A6285B98047}">
      <text>
        <t>[Threaded comment]
Your version of Excel allows you to read this threaded comment; however, any edits to it will get removed if the file is opened in a newer version of Excel. Learn more: https://go.microsoft.com/fwlink/?linkid=870924
Comment:
    بلاغ للنيابة</t>
      </text>
    </comment>
    <comment ref="D11" authorId="1" shapeId="0" xr:uid="{81CFE987-00CF-45F6-94A4-5CAD56715623}">
      <text>
        <t>[Threaded comment]
Your version of Excel allows you to read this threaded comment; however, any edits to it will get removed if the file is opened in a newer version of Excel. Learn more: https://go.microsoft.com/fwlink/?linkid=870924
Comment:
    النيابة</t>
      </text>
    </comment>
    <comment ref="D14" authorId="2" shapeId="0" xr:uid="{D5F9E967-ADCE-4F04-89BE-4D5F25DEB2F3}">
      <text>
        <t>[Threaded comment]
Your version of Excel allows you to read this threaded comment; however, any edits to it will get removed if the file is opened in a newer version of Excel. Learn more: https://go.microsoft.com/fwlink/?linkid=870924
Comment:
    لا بد من أجراء
Reply:
    تم اعداد مسودة خطاب وارسالها بتاريخ 6 شهر 9 2026
Reply:
    خطاب لهيئة عقارات الدولة بالاحساء</t>
      </text>
    </comment>
    <comment ref="D18" authorId="3" shapeId="0" xr:uid="{92F8B6C9-9298-44CC-8267-4A33D6A3A3A5}">
      <text>
        <t>[Threaded comment]
Your version of Excel allows you to read this threaded comment; however, any edits to it will get removed if the file is opened in a newer version of Excel. Learn more: https://go.microsoft.com/fwlink/?linkid=870924
Comment:
    النيابة</t>
      </text>
    </comment>
    <comment ref="D19" authorId="4" shapeId="0" xr:uid="{3465044C-287D-44FD-9D1B-1652A2110414}">
      <text>
        <t>[Threaded comment]
Your version of Excel allows you to read this threaded comment; however, any edits to it will get removed if the file is opened in a newer version of Excel. Learn more: https://go.microsoft.com/fwlink/?linkid=870924
Comment:
    الاجراء الجديد - زيارة ميدانية وتقرير الحالة محمد السهيمي
Reply:
    الحاقي للادارة القانونية</t>
      </text>
    </comment>
    <comment ref="D20" authorId="5" shapeId="0" xr:uid="{008D68AD-4897-46D7-BA66-23C1AC9B3829}">
      <text>
        <t>[Threaded comment]
Your version of Excel allows you to read this threaded comment; however, any edits to it will get removed if the file is opened in a newer version of Excel. Learn more: https://go.microsoft.com/fwlink/?linkid=870924
Comment:
    لا يوجد تعدي من مساعد 
Reply:
    نرفع للنيابة إجراء جديد
Reply:
    لا يتم التقديم على مساعد العنقري</t>
      </text>
    </comment>
    <comment ref="D21" authorId="6" shapeId="0" xr:uid="{BE0565A0-00DC-4C02-BB99-3EBABD09BEB6}">
      <text>
        <t>[Threaded comment]
Your version of Excel allows you to read this threaded comment; however, any edits to it will get removed if the file is opened in a newer version of Excel. Learn more: https://go.microsoft.com/fwlink/?linkid=870924
Comment:
    نخاطب الاوقاف</t>
      </text>
    </comment>
    <comment ref="D22" authorId="7" shapeId="0" xr:uid="{2FDBE4D3-E4B6-4803-9E48-C7E4A7923AE5}">
      <text>
        <t>[Threaded comment]
Your version of Excel allows you to read this threaded comment; however, any edits to it will get removed if the file is opened in a newer version of Excel. Learn more: https://go.microsoft.com/fwlink/?linkid=870924
Comment:
    خطاب للاوقاف</t>
      </text>
    </comment>
    <comment ref="D24" authorId="8" shapeId="0" xr:uid="{70BC2077-31DE-4ECB-9914-C0B976BFD4CA}">
      <text>
        <t>[Threaded comment]
Your version of Excel allows you to read this threaded comment; however, any edits to it will get removed if the file is opened in a newer version of Excel. Learn more: https://go.microsoft.com/fwlink/?linkid=870924
Comment:
    انتظار رد لامارة</t>
      </text>
    </comment>
    <comment ref="D25" authorId="9" shapeId="0" xr:uid="{27F09AE8-7425-41BF-A979-6AA9DC336C33}">
      <text>
        <t>[Threaded comment]
Your version of Excel allows you to read this threaded comment; however, any edits to it will get removed if the file is opened in a newer version of Excel. Learn more: https://go.microsoft.com/fwlink/?linkid=870924
Comment:
    لا بد من إجراء 
Reply:
    نرفع للنيابة بلاغ</t>
      </text>
    </comment>
    <comment ref="D28" authorId="10" shapeId="0" xr:uid="{716C8D69-4C68-43DB-8C66-45E137F1F7C7}">
      <text>
        <t>[Threaded comment]
Your version of Excel allows you to read this threaded comment; however, any edits to it will get removed if the file is opened in a newer version of Excel. Learn more: https://go.microsoft.com/fwlink/?linkid=870924
Comment:
    انتظار رد الامارة</t>
      </text>
    </comment>
    <comment ref="D34" authorId="11" shapeId="0" xr:uid="{22AC9F06-E4FC-407E-B10A-D9AB6C27B017}">
      <text>
        <t>[Threaded comment]
Your version of Excel allows you to read this threaded comment; however, any edits to it will get removed if the file is opened in a newer version of Excel. Learn more: https://go.microsoft.com/fwlink/?linkid=870924
Comment:
    لا بد من اجراء
Reply:
    تم ارسال مسودة خطاب6 من شهر 9 2026
Reply:
    تغير صيغة الخطاب  - إلى الأمين
Reply:
    بلاغ للنيابه</t>
      </text>
    </comment>
    <comment ref="D35" authorId="12" shapeId="0" xr:uid="{289A728C-6F45-4B9D-978A-D4E812F2809D}">
      <text>
        <t>[Threaded comment]
Your version of Excel allows you to read this threaded comment; however, any edits to it will get removed if the file is opened in a newer version of Excel. Learn more: https://go.microsoft.com/fwlink/?linkid=870924
Comment:
    لا بد من اجراء
Reply:
    تم ارسال ايميل لطلب احداثيات 
Reply:
    صدور خطاب للهيئة - ابو حمد 
Reply:
    نرفع للنيابة</t>
      </text>
    </comment>
    <comment ref="D46" authorId="13" shapeId="0" xr:uid="{AB7159ED-CCC1-4F1A-B598-D7DABC936C31}">
      <text>
        <t xml:space="preserve">[Threaded comment]
Your version of Excel allows you to read this threaded comment; however, any edits to it will get removed if the file is opened in a newer version of Excel. Learn more: https://go.microsoft.com/fwlink/?linkid=870924
Comment:
    انتظار الواقعة الايجارية </t>
      </text>
    </comment>
    <comment ref="F46" authorId="14" shapeId="0" xr:uid="{DB63CF03-0B04-4137-AE9E-EF91BC04B8AE}">
      <text>
        <t xml:space="preserve">[Threaded comment]
Your version of Excel allows you to read this threaded comment; however, any edits to it will get removed if the file is opened in a newer version of Excel. Learn more: https://go.microsoft.com/fwlink/?linkid=870924
Comment:
    سيتم تحويل الواقعة الإيجارية إلى الإدارة القانونية </t>
      </text>
    </comment>
    <comment ref="D47" authorId="15" shapeId="0" xr:uid="{42ED800D-FA13-4316-972F-3BEFA0D27AA2}">
      <text>
        <t>[Threaded comment]
Your version of Excel allows you to read this threaded comment; however, any edits to it will get removed if the file is opened in a newer version of Excel. Learn more: https://go.microsoft.com/fwlink/?linkid=870924
Comment:
    في اطار تصدير خطاب  للمحكمة بخصوص التعدي
Reply:
    تم ارسال الخطاب</t>
      </text>
    </comment>
    <comment ref="D48" authorId="16" shapeId="0" xr:uid="{636B82D6-4238-40AB-8C8E-CEE93B427313}">
      <text>
        <t>[Threaded comment]
Your version of Excel allows you to read this threaded comment; however, any edits to it will get removed if the file is opened in a newer version of Excel. Learn more: https://go.microsoft.com/fwlink/?linkid=870924
Comment:
    لابد من اجراء
Reply:
    تم إعداد تقرير إزالة بالاضافة لخطاب تغطية
Reply:
    تغير صيغة الخطاب - بدون تقرير إزالة</t>
      </text>
    </comment>
    <comment ref="D49" authorId="17" shapeId="0" xr:uid="{E35A8A0A-784A-4038-A0B9-C727BCA0C972}">
      <text>
        <t>[Threaded comment]
Your version of Excel allows you to read this threaded comment; however, any edits to it will get removed if the file is opened in a newer version of Excel. Learn more: https://go.microsoft.com/fwlink/?linkid=870924
Comment:
    الحاقي للهيئة</t>
      </text>
    </comment>
    <comment ref="D50" authorId="18" shapeId="0" xr:uid="{EBFE378F-3C7A-4539-A09E-21894FEAC896}">
      <text>
        <t>[Threaded comment]
Your version of Excel allows you to read this threaded comment; however, any edits to it will get removed if the file is opened in a newer version of Excel. Learn more: https://go.microsoft.com/fwlink/?linkid=870924
Comment:
    تم ارسال ايميل للزملاء بخصوص ارسال صور واحداثيات التعدي
Reply:
    تم إعداد مسودة وفي طور المراجعة</t>
      </text>
    </comment>
    <comment ref="D51" authorId="19" shapeId="0" xr:uid="{016C8F0C-F863-4470-B297-BF16CE3C4109}">
      <text>
        <t>[Threaded comment]
Your version of Excel allows you to read this threaded comment; however, any edits to it will get removed if the file is opened in a newer version of Excel. Learn more: https://go.microsoft.com/fwlink/?linkid=870924
Comment:
    الحاق</t>
      </text>
    </comment>
    <comment ref="D54" authorId="20" shapeId="0" xr:uid="{07859195-E0C6-444D-885E-6B0AACE83365}">
      <text>
        <t>[Threaded comment]
Your version of Excel allows you to read this threaded comment; however, any edits to it will get removed if the file is opened in a newer version of Excel. Learn more: https://go.microsoft.com/fwlink/?linkid=870924
Comment:
    تم الاتصال بأبو حمد من قبلهم وطلبوا تحديد موعد اجتماع ويقولون انهم مستأجرين أرض
Reply:
    بلاغ للنيابة</t>
      </text>
    </comment>
    <comment ref="D55" authorId="21" shapeId="0" xr:uid="{F1FDB0FA-A644-473E-9821-1F6D5CB3790F}">
      <text>
        <t>[Threaded comment]
Your version of Excel allows you to read this threaded comment; however, any edits to it will get removed if the file is opened in a newer version of Excel. Learn more: https://go.microsoft.com/fwlink/?linkid=870924
Comment:
    تم ارسال خطاب لرئيس لجنة التعديات وتم الافادة من الامارة لابد من توجيه الخطاب للمحافظ
Reply:
    نرفع بلاغ للنيابة</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tc={300A79E0-257C-4030-97D3-B10A9C8D6C30}</author>
    <author>tc={FF9F8B19-F095-458A-82C6-92F80E105C9A}</author>
    <author>tc={BD0AB17C-3AF1-426F-92BA-16087966EA0E}</author>
    <author>tc={194A29D0-B7FD-479F-A45D-B628095E78E6}</author>
    <author>tc={0E57219D-0A95-423B-AD27-2127C58DC005}</author>
    <author>tc={DF38E6A1-2C24-4FF3-A907-53497E03DAF4}</author>
    <author>tc={948D11BA-3140-45D0-B290-B4D448FFC450}</author>
    <author>tc={08875A5D-46B2-4E58-84CA-60006A475DCC}</author>
    <author>tc={9F792E6C-7783-4850-B075-888C4CB52FF4}</author>
    <author>tc={1F01EFE4-E58D-4614-9826-88757A952E76}</author>
    <author>tc={B11434C3-7CC7-4278-B0B8-4FBA5A7E2836}</author>
  </authors>
  <commentList>
    <comment ref="D6" authorId="0" shapeId="0" xr:uid="{300A79E0-257C-4030-97D3-B10A9C8D6C30}">
      <text>
        <t>[Threaded comment]
Your version of Excel allows you to read this threaded comment; however, any edits to it will get removed if the file is opened in a newer version of Excel. Learn more: https://go.microsoft.com/fwlink/?linkid=870924
Comment:
    تم تسجيل واقعة أيجارية وأرسالها للقانونية</t>
      </text>
    </comment>
    <comment ref="G7" authorId="1" shapeId="0" xr:uid="{FF9F8B19-F095-458A-82C6-92F80E105C9A}">
      <text>
        <t>[Threaded comment]
Your version of Excel allows you to read this threaded comment; however, any edits to it will get removed if the file is opened in a newer version of Excel. Learn more: https://go.microsoft.com/fwlink/?linkid=870924
Comment:
    بانتظار توثيق الواقعة</t>
      </text>
    </comment>
    <comment ref="G21" authorId="2" shapeId="0" xr:uid="{BD0AB17C-3AF1-426F-92BA-16087966EA0E}">
      <text>
        <t>[Threaded comment]
Your version of Excel allows you to read this threaded comment; however, any edits to it will get removed if the file is opened in a newer version of Excel. Learn more: https://go.microsoft.com/fwlink/?linkid=870924
Comment:
    بإنتظار توثيق الواقعة</t>
      </text>
    </comment>
    <comment ref="D25" authorId="3" shapeId="0" xr:uid="{194A29D0-B7FD-479F-A45D-B628095E78E6}">
      <text>
        <t>[Threaded comment]
Your version of Excel allows you to read this threaded comment; however, any edits to it will get removed if the file is opened in a newer version of Excel. Learn more: https://go.microsoft.com/fwlink/?linkid=870924
Comment:
    بانتظار التسجيل كواقعة أيجارية
Reply:
    لم يتم أتخاذ أجراء آخر 2026</t>
      </text>
    </comment>
    <comment ref="D27" authorId="4" shapeId="0" xr:uid="{0E57219D-0A95-423B-AD27-2127C58DC005}">
      <text>
        <t>[Threaded comment]
Your version of Excel allows you to read this threaded comment; however, any edits to it will get removed if the file is opened in a newer version of Excel. Learn more: https://go.microsoft.com/fwlink/?linkid=870924
Comment:
    تم تسجيل واقعة أيجارية بإسم الشخص وليس المؤسسة
Reply:
    بإنتظار تعديل الواقعة الإيجارية مع نفوذ
Reply:
    تم ارسال المستخرج التجاري إلى القانونية بدلا من انشاء واقعة جديدية</t>
      </text>
    </comment>
    <comment ref="D37" authorId="5" shapeId="0" xr:uid="{DF38E6A1-2C24-4FF3-A907-53497E03DAF4}">
      <text>
        <t>[Threaded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t>
      </text>
    </comment>
    <comment ref="D38" authorId="6" shapeId="0" xr:uid="{948D11BA-3140-45D0-B290-B4D448FFC450}">
      <text>
        <t xml:space="preserve">[Threaded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
</t>
      </text>
    </comment>
    <comment ref="E38" authorId="7" shapeId="0" xr:uid="{08875A5D-46B2-4E58-84CA-60006A475DCC}">
      <text>
        <t xml:space="preserve">[Threaded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
</t>
      </text>
    </comment>
    <comment ref="D39" authorId="8" shapeId="0" xr:uid="{9F792E6C-7783-4850-B075-888C4CB52FF4}">
      <text>
        <t xml:space="preserve">[Threaded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
</t>
      </text>
    </comment>
    <comment ref="D40" authorId="9" shapeId="0" xr:uid="{1F01EFE4-E58D-4614-9826-88757A952E76}">
      <text>
        <t xml:space="preserve">[Threaded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
</t>
      </text>
    </comment>
    <comment ref="D41" authorId="10" shapeId="0" xr:uid="{B11434C3-7CC7-4278-B0B8-4FBA5A7E2836}">
      <text>
        <t xml:space="preserve">[Threaded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tc={07CDDE93-E2DB-4C40-973B-D4B8FE9857A7}</author>
    <author>tc={11979213-D816-4FE3-9781-E2D89D7E6176}</author>
    <author>tc={2D774A68-F4CD-4BCE-9592-AFEAD0EFAE77}</author>
    <author>tc={E7F8DB59-99B7-4718-93DA-33F055DE63CA}</author>
    <author>tc={00606C1F-49A0-41A3-B810-BFC58FDC32C5}</author>
    <author>tc={A47F6173-D02D-4F3F-BBB6-065BFEAB7A30}</author>
    <author>tc={53E0E23E-6282-4A95-B187-191168C91480}</author>
    <author>tc={D679F10B-E27F-47B1-A257-0AE7D29593A2}</author>
    <author>tc={3D710C5B-B72B-4C11-97B2-A0DECAB74BC2}</author>
  </authors>
  <commentList>
    <comment ref="D3" authorId="0" shapeId="0" xr:uid="{07CDDE93-E2DB-4C40-973B-D4B8FE9857A7}">
      <text>
        <t>[Threaded comment]
Your version of Excel allows you to read this threaded comment; however, any edits to it will get removed if the file is opened in a newer version of Excel. Learn more: https://go.microsoft.com/fwlink/?linkid=870924
Comment:
    لا بد من أجراء</t>
      </text>
    </comment>
    <comment ref="D14" authorId="1" shapeId="0" xr:uid="{11979213-D816-4FE3-9781-E2D89D7E6176}">
      <text>
        <t xml:space="preserve">[Threaded comment]
Your version of Excel allows you to read this threaded comment; however, any edits to it will get removed if the file is opened in a newer version of Excel. Learn more: https://go.microsoft.com/fwlink/?linkid=870924
Comment:
    لا بد من إجراء </t>
      </text>
    </comment>
    <comment ref="D23" authorId="2" shapeId="0" xr:uid="{2D774A68-F4CD-4BCE-9592-AFEAD0EFAE77}">
      <text>
        <t>[Threaded comment]
Your version of Excel allows you to read this threaded comment; however, any edits to it will get removed if the file is opened in a newer version of Excel. Learn more: https://go.microsoft.com/fwlink/?linkid=870924
Comment:
    لا بد من اجراء</t>
      </text>
    </comment>
    <comment ref="D24" authorId="3" shapeId="0" xr:uid="{E7F8DB59-99B7-4718-93DA-33F055DE63CA}">
      <text>
        <t>[Threaded comment]
Your version of Excel allows you to read this threaded comment; however, any edits to it will get removed if the file is opened in a newer version of Excel. Learn more: https://go.microsoft.com/fwlink/?linkid=870924
Comment:
    لا بد من اجراء</t>
      </text>
    </comment>
    <comment ref="D31" authorId="4" shapeId="0" xr:uid="{00606C1F-49A0-41A3-B810-BFC58FDC32C5}">
      <text>
        <t>[Threaded comment]
Your version of Excel allows you to read this threaded comment; however, any edits to it will get removed if the file is opened in a newer version of Excel. Learn more: https://go.microsoft.com/fwlink/?linkid=870924
Comment:
    تم الاتصال بأبو حمد من قبلهم وطلبوا تحديد موعد اجتماع ويقولون انهم مستأجرين أرض</t>
      </text>
    </comment>
    <comment ref="D36" authorId="5" shapeId="0" xr:uid="{A47F6173-D02D-4F3F-BBB6-065BFEAB7A30}">
      <text>
        <t>[Threaded comment]
Your version of Excel allows you to read this threaded comment; however, any edits to it will get removed if the file is opened in a newer version of Excel. Learn more: https://go.microsoft.com/fwlink/?linkid=870924
Comment:
    في اطار تصدير خطاب  للمحكمة بخصوص التعدي</t>
      </text>
    </comment>
    <comment ref="D37" authorId="6" shapeId="0" xr:uid="{53E0E23E-6282-4A95-B187-191168C91480}">
      <text>
        <t>[Threaded comment]
Your version of Excel allows you to read this threaded comment; however, any edits to it will get removed if the file is opened in a newer version of Excel. Learn more: https://go.microsoft.com/fwlink/?linkid=870924
Comment:
    لابد من اجراء</t>
      </text>
    </comment>
    <comment ref="D39" authorId="7" shapeId="0" xr:uid="{D679F10B-E27F-47B1-A257-0AE7D29593A2}">
      <text>
        <t>[Threaded comment]
Your version of Excel allows you to read this threaded comment; however, any edits to it will get removed if the file is opened in a newer version of Excel. Learn more: https://go.microsoft.com/fwlink/?linkid=870924
Comment:
    تم ارسال ايميل للزملاء بخصوص ارسال صور واحداثيات التعدي</t>
      </text>
    </comment>
    <comment ref="D44" authorId="8" shapeId="0" xr:uid="{3D710C5B-B72B-4C11-97B2-A0DECAB74BC2}">
      <text>
        <t>[Threaded comment]
Your version of Excel allows you to read this threaded comment; however, any edits to it will get removed if the file is opened in a newer version of Excel. Learn more: https://go.microsoft.com/fwlink/?linkid=870924
Comment:
    تم ارسال خطاب لرئيس لجنة التعديات وتم الافادة من الامارة لابد من توجيه الخطاب للمحافظ</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tc={E0851DCC-0BAC-4910-931D-D86F67E36F99}</author>
    <author>tc={686BCA6E-2105-4736-B1E1-D5BDB0043EC7}</author>
    <author>tc={A6CD58E1-CB38-4D47-907D-E139B1B834EE}</author>
    <author>tc={4E7B89DD-1803-47EF-92C1-37629ACC27CE}</author>
    <author>tc={432C5EE2-0BC3-4057-A45F-7D85F6368B13}</author>
    <author>tc={DD19C923-FCA0-4EB7-9047-46285C858EF6}</author>
    <author>tc={979A5B2D-63D5-4086-88C1-F34E9559278C}</author>
    <author>tc={696DF0DF-B3D8-4F0D-8279-3F8C457E79DB}</author>
    <author>tc={F45B5C29-31B9-4331-B3CD-FC0AB34AFAE5}</author>
  </authors>
  <commentList>
    <comment ref="D3" authorId="0" shapeId="0" xr:uid="{E0851DCC-0BAC-4910-931D-D86F67E36F99}">
      <text>
        <t>[Threaded comment]
Your version of Excel allows you to read this threaded comment; however, any edits to it will get removed if the file is opened in a newer version of Excel. Learn more: https://go.microsoft.com/fwlink/?linkid=870924
Comment:
    لا بد من أجراء</t>
      </text>
    </comment>
    <comment ref="D14" authorId="1" shapeId="0" xr:uid="{686BCA6E-2105-4736-B1E1-D5BDB0043EC7}">
      <text>
        <t xml:space="preserve">[Threaded comment]
Your version of Excel allows you to read this threaded comment; however, any edits to it will get removed if the file is opened in a newer version of Excel. Learn more: https://go.microsoft.com/fwlink/?linkid=870924
Comment:
    لا بد من إجراء </t>
      </text>
    </comment>
    <comment ref="D23" authorId="2" shapeId="0" xr:uid="{A6CD58E1-CB38-4D47-907D-E139B1B834EE}">
      <text>
        <t>[Threaded comment]
Your version of Excel allows you to read this threaded comment; however, any edits to it will get removed if the file is opened in a newer version of Excel. Learn more: https://go.microsoft.com/fwlink/?linkid=870924
Comment:
    لا بد من اجراء</t>
      </text>
    </comment>
    <comment ref="D24" authorId="3" shapeId="0" xr:uid="{4E7B89DD-1803-47EF-92C1-37629ACC27CE}">
      <text>
        <t>[Threaded comment]
Your version of Excel allows you to read this threaded comment; however, any edits to it will get removed if the file is opened in a newer version of Excel. Learn more: https://go.microsoft.com/fwlink/?linkid=870924
Comment:
    لا بد من اجراء</t>
      </text>
    </comment>
    <comment ref="D31" authorId="4" shapeId="0" xr:uid="{432C5EE2-0BC3-4057-A45F-7D85F6368B13}">
      <text>
        <t>[Threaded comment]
Your version of Excel allows you to read this threaded comment; however, any edits to it will get removed if the file is opened in a newer version of Excel. Learn more: https://go.microsoft.com/fwlink/?linkid=870924
Comment:
    تم الاتصال بأبو حمد من قبلهم وطلبوا تحديد موعد اجتماع ويقولون انهم مستأجرين أرض</t>
      </text>
    </comment>
    <comment ref="D36" authorId="5" shapeId="0" xr:uid="{DD19C923-FCA0-4EB7-9047-46285C858EF6}">
      <text>
        <t>[Threaded comment]
Your version of Excel allows you to read this threaded comment; however, any edits to it will get removed if the file is opened in a newer version of Excel. Learn more: https://go.microsoft.com/fwlink/?linkid=870924
Comment:
    في اطار تصدير خطاب  للمحكمة بخصوص التعدي</t>
      </text>
    </comment>
    <comment ref="D37" authorId="6" shapeId="0" xr:uid="{979A5B2D-63D5-4086-88C1-F34E9559278C}">
      <text>
        <t>[Threaded comment]
Your version of Excel allows you to read this threaded comment; however, any edits to it will get removed if the file is opened in a newer version of Excel. Learn more: https://go.microsoft.com/fwlink/?linkid=870924
Comment:
    لابد من اجراء</t>
      </text>
    </comment>
    <comment ref="D39" authorId="7" shapeId="0" xr:uid="{696DF0DF-B3D8-4F0D-8279-3F8C457E79DB}">
      <text>
        <t>[Threaded comment]
Your version of Excel allows you to read this threaded comment; however, any edits to it will get removed if the file is opened in a newer version of Excel. Learn more: https://go.microsoft.com/fwlink/?linkid=870924
Comment:
    تم ارسال ايميل للزملاء بخصوص ارسال صور واحداثيات التعدي</t>
      </text>
    </comment>
    <comment ref="D44" authorId="8" shapeId="0" xr:uid="{F45B5C29-31B9-4331-B3CD-FC0AB34AFAE5}">
      <text>
        <t>[Threaded comment]
Your version of Excel allows you to read this threaded comment; however, any edits to it will get removed if the file is opened in a newer version of Excel. Learn more: https://go.microsoft.com/fwlink/?linkid=870924
Comment:
    تم ارسال خطاب لرئيس لجنة التعديات وتم الافادة من الامارة لابد من توجيه الخطاب للمحافظ</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tc={430133F3-C7A8-4C7D-B8D1-D620554D4D61}</author>
    <author>tc={86DEEB6B-3508-4E68-8268-CC42E12E5A66}</author>
    <author>tc={27A38973-80C8-43D4-9AA2-5844669E49D6}</author>
    <author>tc={5CCF6942-A7AB-4B09-B6F6-56A290459130}</author>
    <author>tc={928A7D46-1E97-4CAA-BC25-180E3BFC5EF0}</author>
    <author>tc={AE400E38-70A7-4FF0-A0A4-75098CCDE930}</author>
    <author>tc={FBA4CBF2-80DA-42B9-8035-B6D65539E30E}</author>
    <author>tc={2E5AB59D-57FB-4808-BEED-64BC6EFD4398}</author>
    <author>tc={0116DF29-7794-4DD2-BE57-CF95BB75636E}</author>
    <author>tc={4913BD45-4D1B-47D7-BAD7-7C56813AB968}</author>
    <author>tc={0BD368A0-6902-4791-B315-18FB8D794452}</author>
    <author>tc={E99A76E4-7472-4F87-A680-975B4DC9529D}</author>
    <author>tc={6B54ED72-6974-4852-8CC1-48B785D57F60}</author>
    <author>tc={25CDE971-772F-4F45-93BE-94A847734401}</author>
    <author>tc={D5964D2D-1C2E-4C20-93D0-19E3F706B9D0}</author>
    <author>tc={64B05414-F75B-4A10-BCD2-502ED9D0F987}</author>
    <author>tc={B2F5A4E6-9450-4048-A69F-C0078F4E7FA1}</author>
    <author>tc={91BEA8AB-E695-4F93-B6AF-066667F7580E}</author>
    <author>tc={A2DB0723-797B-4A94-B1F0-6F3031140855}</author>
    <author>tc={50975F5F-2ED2-40CE-AAEA-66AD3A21343E}</author>
    <author>tc={8E9E14E8-260E-4B50-9284-75D1ABCED2FD}</author>
  </authors>
  <commentList>
    <comment ref="D14" authorId="0" shapeId="0" xr:uid="{430133F3-C7A8-4C7D-B8D1-D620554D4D61}">
      <text>
        <t>[Threaded comment]
Your version of Excel allows you to read this threaded comment; however, any edits to it will get removed if the file is opened in a newer version of Excel. Learn more: https://go.microsoft.com/fwlink/?linkid=870924
Comment:
    في اطار تصدير خطاب  للمحكمة بخصوص التعدي
Reply:
    تم ارسال الخطاب</t>
      </text>
    </comment>
    <comment ref="D15" authorId="1" shapeId="0" xr:uid="{86DEEB6B-3508-4E68-8268-CC42E12E5A66}">
      <text>
        <t>[Threaded comment]
Your version of Excel allows you to read this threaded comment; however, any edits to it will get removed if the file is opened in a newer version of Excel. Learn more: https://go.microsoft.com/fwlink/?linkid=870924
Comment:
    الحاقي للهيئة</t>
      </text>
    </comment>
    <comment ref="D16" authorId="2" shapeId="0" xr:uid="{27A38973-80C8-43D4-9AA2-5844669E49D6}">
      <text>
        <t>[Threaded comment]
Your version of Excel allows you to read this threaded comment; however, any edits to it will get removed if the file is opened in a newer version of Excel. Learn more: https://go.microsoft.com/fwlink/?linkid=870924
Comment:
    تم ارسال ايميل للزملاء بخصوص ارسال صور واحداثيات التعدي
Reply:
    تم إعداد مسودة وفي طور المراجعة</t>
      </text>
    </comment>
    <comment ref="D17" authorId="3" shapeId="0" xr:uid="{5CCF6942-A7AB-4B09-B6F6-56A290459130}">
      <text>
        <t>[Threaded comment]
Your version of Excel allows you to read this threaded comment; however, any edits to it will get removed if the file is opened in a newer version of Excel. Learn more: https://go.microsoft.com/fwlink/?linkid=870924
Comment:
    لا بد من إجراء 
Reply:
    نرفع للنيابة بلاغ</t>
      </text>
    </comment>
    <comment ref="D19" authorId="4" shapeId="0" xr:uid="{928A7D46-1E97-4CAA-BC25-180E3BFC5EF0}">
      <text>
        <t>[Threaded comment]
Your version of Excel allows you to read this threaded comment; however, any edits to it will get removed if the file is opened in a newer version of Excel. Learn more: https://go.microsoft.com/fwlink/?linkid=870924
Comment:
    الاجراء الجديد - زيارة ميدانية وتقرير الحالة محمد السهيمي
Reply:
    الحاقي للادارة القانونية</t>
      </text>
    </comment>
    <comment ref="D20" authorId="5" shapeId="0" xr:uid="{AE400E38-70A7-4FF0-A0A4-75098CCDE930}">
      <text>
        <t>[Threaded comment]
Your version of Excel allows you to read this threaded comment; however, any edits to it will get removed if the file is opened in a newer version of Excel. Learn more: https://go.microsoft.com/fwlink/?linkid=870924
Comment:
    لا يوجد تعدي من مساعد 
Reply:
    نرفع للنيابة إجراء جديد
Reply:
    لا يتم التقديم على مساعد العنقري</t>
      </text>
    </comment>
    <comment ref="D21" authorId="6" shapeId="0" xr:uid="{FBA4CBF2-80DA-42B9-8035-B6D65539E30E}">
      <text>
        <t>[Threaded comment]
Your version of Excel allows you to read this threaded comment; however, any edits to it will get removed if the file is opened in a newer version of Excel. Learn more: https://go.microsoft.com/fwlink/?linkid=870924
Comment:
    انتظار رد لامارة</t>
      </text>
    </comment>
    <comment ref="D22" authorId="7" shapeId="0" xr:uid="{2E5AB59D-57FB-4808-BEED-64BC6EFD4398}">
      <text>
        <t>[Threaded comment]
Your version of Excel allows you to read this threaded comment; however, any edits to it will get removed if the file is opened in a newer version of Excel. Learn more: https://go.microsoft.com/fwlink/?linkid=870924
Comment:
    انتظار رد الامارة</t>
      </text>
    </comment>
    <comment ref="D31" authorId="8" shapeId="0" xr:uid="{0116DF29-7794-4DD2-BE57-CF95BB75636E}">
      <text>
        <t xml:space="preserve">[Threaded comment]
Your version of Excel allows you to read this threaded comment; however, any edits to it will get removed if the file is opened in a newer version of Excel. Learn more: https://go.microsoft.com/fwlink/?linkid=870924
Comment:
    انتظار الواقعة الايجارية </t>
      </text>
    </comment>
    <comment ref="D32" authorId="9" shapeId="0" xr:uid="{4913BD45-4D1B-47D7-BAD7-7C56813AB968}">
      <text>
        <t>[Threaded comment]
Your version of Excel allows you to read this threaded comment; however, any edits to it will get removed if the file is opened in a newer version of Excel. Learn more: https://go.microsoft.com/fwlink/?linkid=870924
Comment:
    الحاق</t>
      </text>
    </comment>
    <comment ref="D33" authorId="10" shapeId="0" xr:uid="{0BD368A0-6902-4791-B315-18FB8D794452}">
      <text>
        <t>[Threaded comment]
Your version of Excel allows you to read this threaded comment; however, any edits to it will get removed if the file is opened in a newer version of Excel. Learn more: https://go.microsoft.com/fwlink/?linkid=870924
Comment:
    تم ارسال خطاب لرئيس لجنة التعديات وتم الافادة من الامارة لابد من توجيه الخطاب للمحافظ
Reply:
    نرفع بلاغ للنيابة</t>
      </text>
    </comment>
    <comment ref="D35" authorId="11" shapeId="0" xr:uid="{E99A76E4-7472-4F87-A680-975B4DC9529D}">
      <text>
        <t>[Threaded comment]
Your version of Excel allows you to read this threaded comment; however, any edits to it will get removed if the file is opened in a newer version of Excel. Learn more: https://go.microsoft.com/fwlink/?linkid=870924
Comment:
    بلاغ للنيابة</t>
      </text>
    </comment>
    <comment ref="D36" authorId="12" shapeId="0" xr:uid="{6B54ED72-6974-4852-8CC1-48B785D57F60}">
      <text>
        <t>[Threaded comment]
Your version of Excel allows you to read this threaded comment; however, any edits to it will get removed if the file is opened in a newer version of Excel. Learn more: https://go.microsoft.com/fwlink/?linkid=870924
Comment:
    النيابة</t>
      </text>
    </comment>
    <comment ref="D38" authorId="13" shapeId="0" xr:uid="{25CDE971-772F-4F45-93BE-94A847734401}">
      <text>
        <t>[Threaded comment]
Your version of Excel allows you to read this threaded comment; however, any edits to it will get removed if the file is opened in a newer version of Excel. Learn more: https://go.microsoft.com/fwlink/?linkid=870924
Comment:
    النيابة</t>
      </text>
    </comment>
    <comment ref="D45" authorId="14" shapeId="0" xr:uid="{D5964D2D-1C2E-4C20-93D0-19E3F706B9D0}">
      <text>
        <t>[Threaded comment]
Your version of Excel allows you to read this threaded comment; however, any edits to it will get removed if the file is opened in a newer version of Excel. Learn more: https://go.microsoft.com/fwlink/?linkid=870924
Comment:
    تم الاتصال بأبو حمد من قبلهم وطلبوا تحديد موعد اجتماع ويقولون انهم مستأجرين أرض
Reply:
    بلاغ للنيابة</t>
      </text>
    </comment>
    <comment ref="D46" authorId="15" shapeId="0" xr:uid="{64B05414-F75B-4A10-BCD2-502ED9D0F987}">
      <text>
        <t>[Threaded comment]
Your version of Excel allows you to read this threaded comment; however, any edits to it will get removed if the file is opened in a newer version of Excel. Learn more: https://go.microsoft.com/fwlink/?linkid=870924
Comment:
    لا بد من أجراء
Reply:
    تم اعداد مسودة خطاب وارسالها بتاريخ 6 شهر 9 2026
Reply:
    خطاب لهيئة عقارات الدولة بالاحساء</t>
      </text>
    </comment>
    <comment ref="D48" authorId="16" shapeId="0" xr:uid="{B2F5A4E6-9450-4048-A69F-C0078F4E7FA1}">
      <text>
        <t>[Threaded comment]
Your version of Excel allows you to read this threaded comment; however, any edits to it will get removed if the file is opened in a newer version of Excel. Learn more: https://go.microsoft.com/fwlink/?linkid=870924
Comment:
    نخاطب الاوقاف</t>
      </text>
    </comment>
    <comment ref="D49" authorId="17" shapeId="0" xr:uid="{91BEA8AB-E695-4F93-B6AF-066667F7580E}">
      <text>
        <t>[Threaded comment]
Your version of Excel allows you to read this threaded comment; however, any edits to it will get removed if the file is opened in a newer version of Excel. Learn more: https://go.microsoft.com/fwlink/?linkid=870924
Comment:
    خطاب للاوقاف</t>
      </text>
    </comment>
    <comment ref="D51" authorId="18" shapeId="0" xr:uid="{A2DB0723-797B-4A94-B1F0-6F3031140855}">
      <text>
        <t>[Threaded comment]
Your version of Excel allows you to read this threaded comment; however, any edits to it will get removed if the file is opened in a newer version of Excel. Learn more: https://go.microsoft.com/fwlink/?linkid=870924
Comment:
    لا بد من اجراء
Reply:
    تم ارسال مسودة خطاب6 من شهر 9 2026
Reply:
    تغير صيغة الخطاب  - إلى الأمين
Reply:
    بلاغ للنيابه</t>
      </text>
    </comment>
    <comment ref="D54" authorId="19" shapeId="0" xr:uid="{50975F5F-2ED2-40CE-AAEA-66AD3A21343E}">
      <text>
        <t>[Threaded comment]
Your version of Excel allows you to read this threaded comment; however, any edits to it will get removed if the file is opened in a newer version of Excel. Learn more: https://go.microsoft.com/fwlink/?linkid=870924
Comment:
    لا بد من اجراء
Reply:
    تم ارسال ايميل لطلب احداثيات 
Reply:
    صدور خطاب للهيئة - ابو حمد 
Reply:
    نرفع للنيابة</t>
      </text>
    </comment>
    <comment ref="D56" authorId="20" shapeId="0" xr:uid="{8E9E14E8-260E-4B50-9284-75D1ABCED2FD}">
      <text>
        <t>[Threaded comment]
Your version of Excel allows you to read this threaded comment; however, any edits to it will get removed if the file is opened in a newer version of Excel. Learn more: https://go.microsoft.com/fwlink/?linkid=870924
Comment:
    لابد من اجراء
Reply:
    تم إعداد تقرير إزالة بالاضافة لخطاب تغطية
Reply:
    تغير صيغة الخطاب - بدون تقرير إزالة</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tc={908DED68-7C34-40F7-B90C-646577DB26A9}</author>
    <author>tc={499DD33F-3441-4C11-A952-2A7CC3B1F6FF}</author>
    <author>tc={0FF62EBB-049C-4E25-BA01-0388C4739D1A}</author>
    <author>tc={393ACF7D-0CBC-474E-926F-B86D0EEC1A04}</author>
    <author>tc={9FB69959-B9FB-48E5-A9F7-F640C711021A}</author>
    <author>tc={7941CE80-3663-4386-9BAD-5C0855E49C37}</author>
    <author>tc={103D36A0-93D6-49F9-948E-51336CD22B20}</author>
  </authors>
  <commentList>
    <comment ref="D4" authorId="0" shapeId="0" xr:uid="{908DED68-7C34-40F7-B90C-646577DB26A9}">
      <text>
        <t xml:space="preserve">[Threaded comment]
Your version of Excel allows you to read this threaded comment; however, any edits to it will get removed if the file is opened in a newer version of Excel. Learn more: https://go.microsoft.com/fwlink/?linkid=870924
Comment:
    في انتظار تسجيل الواقعة الايجارية
Reply:
    لم يتم أتخاذ اي إجراء آخر في عام 2026 حتى الأن 
Reply:
    لن يتم تسجيلها كواقعة إيجارية بسبب شطب السجل- وسيتم تحويلها للقانونية </t>
      </text>
    </comment>
    <comment ref="D5" authorId="1" shapeId="0" xr:uid="{499DD33F-3441-4C11-A952-2A7CC3B1F6FF}">
      <text>
        <t>[Threaded comment]
Your version of Excel allows you to read this threaded comment; however, any edits to it will get removed if the file is opened in a newer version of Excel. Learn more: https://go.microsoft.com/fwlink/?linkid=870924
Comment:
    بانتظار التسجيل كواقعة أيجارية
Reply:
    لم يتم أتخاذ أجراء آخر 2026</t>
      </text>
    </comment>
    <comment ref="D6" authorId="2" shapeId="0" xr:uid="{0FF62EBB-049C-4E25-BA01-0388C4739D1A}">
      <text>
        <t>[Threaded comment]
Your version of Excel allows you to read this threaded comment; however, any edits to it will get removed if the file is opened in a newer version of Excel. Learn more: https://go.microsoft.com/fwlink/?linkid=870924
Comment:
    تم تسجيل واقعة أيجارية بإسم الشخص وليس المؤسسة
Reply:
    بإنتظار تعديل الواقعة الإيجارية مع نفوذ
Reply:
    تم ارسال المستخرج التجاري إلى القانونية بدلا من انشاء واقعة جديدية</t>
      </text>
    </comment>
    <comment ref="D12" authorId="3" shapeId="0" xr:uid="{393ACF7D-0CBC-474E-926F-B86D0EEC1A04}">
      <text>
        <t>[Threaded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t>
      </text>
    </comment>
    <comment ref="D13" authorId="4" shapeId="0" xr:uid="{9FB69959-B9FB-48E5-A9F7-F640C711021A}">
      <text>
        <t xml:space="preserve">[Threaded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
</t>
      </text>
    </comment>
    <comment ref="D14" authorId="5" shapeId="0" xr:uid="{7941CE80-3663-4386-9BAD-5C0855E49C37}">
      <text>
        <t xml:space="preserve">[Threaded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
</t>
      </text>
    </comment>
    <comment ref="D15" authorId="6" shapeId="0" xr:uid="{103D36A0-93D6-49F9-948E-51336CD22B20}">
      <text>
        <t xml:space="preserve">[Threaded comment]
Your version of Excel allows you to read this threaded comment; however, any edits to it will get removed if the file is opened in a newer version of Excel. Learn more: https://go.microsoft.com/fwlink/?linkid=870924
Comment:
    التاكد من القانونية بخصوص آخر المستجدات
</t>
      </text>
    </comment>
  </commentList>
</comments>
</file>

<file path=xl/sharedStrings.xml><?xml version="1.0" encoding="utf-8"?>
<sst xmlns="http://schemas.openxmlformats.org/spreadsheetml/2006/main" count="1927" uniqueCount="427">
  <si>
    <t>No</t>
  </si>
  <si>
    <t>المدينة</t>
  </si>
  <si>
    <t>رقم الارض</t>
  </si>
  <si>
    <t>المتعدي</t>
  </si>
  <si>
    <t>التصنيف</t>
  </si>
  <si>
    <t xml:space="preserve">حالة التعدي </t>
  </si>
  <si>
    <t>رقم الواقعة الإيجارية</t>
  </si>
  <si>
    <t xml:space="preserve">الاجرائات </t>
  </si>
  <si>
    <t>الدمام</t>
  </si>
  <si>
    <t>DM7-117</t>
  </si>
  <si>
    <t>شركة بندر الخليج المحدودة(الحاسوم)</t>
  </si>
  <si>
    <t xml:space="preserve">عقد منتهى </t>
  </si>
  <si>
    <t>لدى القانونية</t>
  </si>
  <si>
    <t>30980904101</t>
  </si>
  <si>
    <t>•	خروج فريق العمل الميداني بالشركة ومعاينة الموقع والتاكد من وجود التعدي.  
•	خروج فريق العمل الميداني بالشركة ومعاينة الموقع والتاكد من وجود التعدي .
•	تم ارسال خطاب رقم 6348/2025 بتاريخ 11/11/2025 خطاب اخلاء ومراجعة ادارة التطوير العقاري بالشركة.
•	 تم ارسال خطاب رقم 6285/2025 بتاريخ10/11/2025 الى لجنة التعاديات بأمارة المنطقة الشرقية بشأن إزالة التعدي .</t>
  </si>
  <si>
    <t>DM7-115</t>
  </si>
  <si>
    <t>DM1-2</t>
  </si>
  <si>
    <t>محمد بن عبد الله الباعود</t>
  </si>
  <si>
    <t>قائم</t>
  </si>
  <si>
    <t>•	خروج فريق العمل الميداني بالشركة ومعاينة الموقع والتاكد من وجود التعدي .
•	تم معاينة الموقع من قبل فريق سار بتاريخ 29/07/2024 .
•	تم ارسال خطاب رقم 6326/2025 بتاريخ 11/11/2025 خطاب اخلاء ومراجعة ادارة التطوير العقاري بالشركة.
•	 تم ارسال خطاب رقم 6290/2025 بتاريخ10/11/2025 الى لجنة التعاديات بأمارة المنطقة الشرقية بشأن إزالة التعدي .
- تحت إجراءات التسجيل كواقعة ايجارية</t>
  </si>
  <si>
    <t>DM1-42</t>
  </si>
  <si>
    <t>مؤسسة عبدالمحسن العبدالمحسن السويلم للتجارة</t>
  </si>
  <si>
    <t>30452578798</t>
  </si>
  <si>
    <t xml:space="preserve">تم رفع  واقعة ايجارية عن طريق منصة ايجار </t>
  </si>
  <si>
    <t>DM7-58-59-60</t>
  </si>
  <si>
    <t>مؤسسة عبد العزيز يوسف الصقر التجارية</t>
  </si>
  <si>
    <t>DM10-32-33-34-35-36-37-38-39</t>
  </si>
  <si>
    <t>شركة مجموعة ناف</t>
  </si>
  <si>
    <t>تم الاخلاء</t>
  </si>
  <si>
    <t>30686830850</t>
  </si>
  <si>
    <t xml:space="preserve">•	خروج فريق العمل الميداني بالشركة ومعاينة الموقع والتاكد من وجود التعدي.  
•	خروج فريق العمل الميداني بالشركة ومعاينة الموقع والتاكد من وجود التعدي.
•	تم ارسال خطاب رقم 5935/2025 بتاريخ 15/10/2025 خطاب ضرورة الاسراع فى استكمال جميع إجراءات الاخلاء.
</t>
  </si>
  <si>
    <t>DM4-3</t>
  </si>
  <si>
    <t>شركة بندر الخليج المحدودة</t>
  </si>
  <si>
    <t>•	خروج فريق العمل الميداني بالشركة ومعاينة الموقع والتاكد من وجود التعدي.
•	  تم معاينة الموقع من قبل فريق سار بتاريخ 28/07/2024 .</t>
  </si>
  <si>
    <t>DM7-49-50-51</t>
  </si>
  <si>
    <t xml:space="preserve">•	خروج فريق العمل الميداني بالشركة ومعاينة الموقع والتاكد من وجود التعدي.
•	 تم معاينة الموقع من قبل فريق سار بتاريخ 11/08/2024 . </t>
  </si>
  <si>
    <t>DM3-3</t>
  </si>
  <si>
    <t>شركة خشيم للتجهيزات الصناعية</t>
  </si>
  <si>
    <t>DM3-27</t>
  </si>
  <si>
    <t>شركة اعمار البيوت الراقية</t>
  </si>
  <si>
    <t>DM3-39&amp;40&amp;47&amp;48</t>
  </si>
  <si>
    <t>DM3-46</t>
  </si>
  <si>
    <t>DM4-22-23-24-25-36-37-38-39-40</t>
  </si>
  <si>
    <t>شركة سعد لتجارة والمقاولات والخدمات المالية</t>
  </si>
  <si>
    <t>DM10-10-11-12-13</t>
  </si>
  <si>
    <t>شركة علمدار وشركاه للتجارة والتعهدات</t>
  </si>
  <si>
    <t>DM6-11-13</t>
  </si>
  <si>
    <t>شركة الشرق الأوسط للمقاولات</t>
  </si>
  <si>
    <t xml:space="preserve">•	خروج فريق العمل الميداني بالشركة ومعاينة الموقع والتاكد من الاخلاء  . </t>
  </si>
  <si>
    <t>الرياض</t>
  </si>
  <si>
    <t>RY8-65</t>
  </si>
  <si>
    <t>شركة اتحاد اتصالات موبايلي</t>
  </si>
  <si>
    <t>30340715984</t>
  </si>
  <si>
    <r>
      <t xml:space="preserve">•	خروج فريق العمل الميداني بالشركة والتأكد من استغلال الموقع من قبل العميل بتاريخ(02/09/2025) .
•	خروج فريق العمل الميداني بالشركة ومعاينة الموقع والتأكد من وجود العميل غير متجاوب.  
•	 تم ارسال خطاب رقم 6542/2025 بتاريخ27/11/2025 الى لجنة التعاديات بأمارة منطقة الرياض بشأن إزالة التعدي .
</t>
    </r>
    <r>
      <rPr>
        <sz val="9"/>
        <color rgb="FFFF0000"/>
        <rFont val="Sakkal Majalla"/>
      </rPr>
      <t>تم رفع  واقعة ايجارية عن طريق منصة ايجار 
-تم إحالتها للقانونية</t>
    </r>
  </si>
  <si>
    <t>RY6-77</t>
  </si>
  <si>
    <t>شركة العويس للوكالات التجارية</t>
  </si>
  <si>
    <t>30647735686</t>
  </si>
  <si>
    <r>
      <t xml:space="preserve">•	خروج فريق العمل الميداني بالشركة والتأكد من استغلال الموقع من قبل العميل بتاريخ (01-06-2023) .
•	خروج فريق العمل الميداني بالشركة ومعاينة الموقع والتأكد من وجود العميل وغير متجاوب تم اشعاره بالاخلاء وضع ملصقات بالمراجعة من البلدية  .
•	تم ارسال خطاب رقم 8084/2025 بتاريخ 26/02/2025 خطاب اخلاء وسداد جميع المستحقات المترتبة على الارض.
•	 تم ارسال خطاب رقم 6540/2025 بتاريخ27/11/2025 الى لجنة التعاديات بأمارة منطقة الرياض بشأن إزالة التعدي .
</t>
    </r>
    <r>
      <rPr>
        <sz val="9"/>
        <color rgb="FFFF0000"/>
        <rFont val="Sakkal Majalla"/>
      </rPr>
      <t>تم رفع  واقعة ايجارية عن طريق منصة ايجار 
-تم إحالتها للقانونية</t>
    </r>
    <r>
      <rPr>
        <sz val="9"/>
        <rFont val="Sakkal Majalla"/>
      </rPr>
      <t xml:space="preserve">
- تم عمل معاينة حديثة بتاريخ 1-7-2026 بناء على طلب المحكمة لإثبات استمرار التواجد</t>
    </r>
  </si>
  <si>
    <t>RY7-74</t>
  </si>
  <si>
    <t>شركة عبد الله وابراهيم ابناء سلمان المطرود</t>
  </si>
  <si>
    <t>30149070805</t>
  </si>
  <si>
    <r>
      <t xml:space="preserve">•	خروج فريق العمل الميداني بالشركة والتأكد من استغلال الموقع من قبل العميل بتاريخ (31/05/2023).
•	خروج فريق العمل الميداني بالشركة ومعاينة الموقع والتأكد من وجود العميل وغير متجاوب تم اشعاره بالاخلاء وضع ملصقات بالمراجعة من البلدية .
•	تم ارسال خطاب رقم 6345/2025 بتاريخ 11/11/2025 خطاب اخلاء ومراجعة ادارة التطوير العقاري بالشركة.
•	 تم ارسال خطاب رقم 6541/2025 بتاريخ27/11/2025 الى لجنة التعاديات بأمارة منطقة الرياض بشأن إزالة التعدي .
</t>
    </r>
    <r>
      <rPr>
        <sz val="9"/>
        <color rgb="FFFF0000"/>
        <rFont val="Sakkal Majalla"/>
      </rPr>
      <t>تم رفع  واقعة ايجارية عن طريق منصة ايجار 
-تم إحالتها للقانونية</t>
    </r>
  </si>
  <si>
    <t>RY6-49</t>
  </si>
  <si>
    <t>محل عبد العزيز علي المتوزي التجاري
شركة علي عبدالعزيز المقبل</t>
  </si>
  <si>
    <t>30526842242</t>
  </si>
  <si>
    <r>
      <t xml:space="preserve">•	خروج فريق العمل الميداني بالشركة والتأكد من استغلال الموقع من قبل العميل .
•	خروج فريق العمل الميداني بالشركة ومعاينة الموقع والتأكد من وجود العميل وغير متجاوب وتم اشعاره بالاخلاء وضع ملصقات بالمراجعة من البلدية  .
•	تم ارسال خطاب رقم 6341/2025 بتاريخ 11/11/2025 خطاب اخلاء ومراجعة ادارة التطوير العقاري بالشركة.
•	 تم ارسال خطاب رقم 6535/2025 بتاريخ27/11/2025 الى لجنة التعاديات بأمارة منطقة الرياض بشأن إزالة التعدي .
</t>
    </r>
    <r>
      <rPr>
        <sz val="9"/>
        <color rgb="FFFF0000"/>
        <rFont val="Sakkal Majalla"/>
      </rPr>
      <t>تم رفع  واقعة ايجارية عن طريق منصة ايجار 
-تم إحالتها للقانونية</t>
    </r>
  </si>
  <si>
    <t>RY6-21</t>
  </si>
  <si>
    <t>مجموعة العبداللطيف التجارية</t>
  </si>
  <si>
    <t xml:space="preserve">•	خروج فريق العمل الميداني بالشركة والتأكد من استغلال الموقع من قبل العميل بتاريخ (02/09/2024) .
•	خروج فريق العمل الميداني بالشركة ومعاينة الموقع والتأكد من وجود العميل وغير متجاوب وتم اشعاره بالاخلاء وضع ملصقات بالمراجعة من البلدية.
•	تم معاينة الموقع من قبل فريق سار وومثل البلدية وتم وضع ملصقات مراجعة بتاريخ   23-04-2025.
•	تم ارسال خطاب رقم 6344/2025 بتاريخ 11/11/2025 خطاب اخلاء ومراجعة ادارة التطوير العقاري بالشركة.
•	 تم ارسال خطاب رقم 6538/2025 بتاريخ27/11/2025 الى لجنة التعاديات بأمارة منطقة الرياض بشأن إزالة التعدي .
</t>
  </si>
  <si>
    <t>RY6-55&amp;57</t>
  </si>
  <si>
    <t xml:space="preserve">مؤسسة  يعقوب يوسف عبد العزيز الرشيد للتجارة </t>
  </si>
  <si>
    <t>30529968560</t>
  </si>
  <si>
    <r>
      <t xml:space="preserve">•	خروج فريق العمل الميداني بالشركة والتأكد من استغلال الموقع من قبل العميل بتاريخ (01-06-2023).
•	خروج فريق العمل الميداني بالشركة ومعاينة الموقع والتأكد من وجود العميل وغير متجاوب تم اشعاره بالاخلاء وضع ملصقات بالمراجعة من البلدية  بتاريخ  (23/04/2025).
•	تم ارسال خطاب رقم 6346/2025 بتاريخ 11/11/2025 خطاب اخلاء ومراجعة ادارة التطوير العقاري بالشركة.
•	 تم ارسال خطاب رقم 6541/2025 بتاريخ27/11/2025 الى لجنة التعاديات بأمارة منطقة الرياض بشأن إزالة التعدي .
</t>
    </r>
    <r>
      <rPr>
        <sz val="9"/>
        <color rgb="FFFF0000"/>
        <rFont val="Sakkal Majalla"/>
      </rPr>
      <t>تم رفع  واقعة ايجارية عن طريق منصة ايجار 
-تم إحالتها للقانونية</t>
    </r>
  </si>
  <si>
    <t>RY8-34</t>
  </si>
  <si>
    <t>مؤسسة السليم للتجارة والمقاولات</t>
  </si>
  <si>
    <t>30250426565</t>
  </si>
  <si>
    <t>•	خروج فريق العمل الميداني بالشركة والتأكد من استغلال الموقع من قبل العميل بتاريخ (07/05/2025) .
•	تم ارسال خطاب رقم 6342/2025 بتاريخ 11/11/2025 خطاب اخلاء ومراجعة ادارة التطوير العقاري بالشركة.
•	 تم ارسال خطاب رقم 6536/2025 بتاريخ27/11/2025 الى لجنة التعاديات بأمارة منطقة الرياض بشأن إزالة التعدي .
-تم إحالتها للقانونية</t>
  </si>
  <si>
    <t>RY6-23</t>
  </si>
  <si>
    <t>مؤسسة محمد حمد العبداللطيف</t>
  </si>
  <si>
    <t xml:space="preserve">•	خروج فريق العمل الميداني بالشركة ومعاينة الموقع والتاكد من وجود التعدي  بتاريخ (29/08/2024) .
•	خروج فريق العمل الميداني بالشركة ومعاينة الموقع والتأكد من وجود العميل وغير متجاوب تم اشعاره بالاخلاء وضع ملصقات بالمراجعة من البلدية  .
•	 تم معاينة الموقع من قبل فريق سار وومثل البلدية وتم وضع ملصقات مراجعة بتاريخ 23-04-2025 .
•	تم ارسال خطاب رقم 6343/2025 بتاريخ 11/11/2025 خطاب اخلاء ومراجعة ادارة التطوير العقاري بالشركة.
•	 تم ارسال خطاب رقم 6537/2025 بتاريخ27/11/2025 الى لجنة التعاديات بأمارة منطقة الرياض بشأن إزالة التعدي .
-تم إحالتها للقانونية
</t>
  </si>
  <si>
    <t>RY8-26</t>
  </si>
  <si>
    <t>شركة مجموعة الشايع للتجارة</t>
  </si>
  <si>
    <t>30020621586</t>
  </si>
  <si>
    <t>•	خروج فريق العمل الميداني بالشركة والتأكد من استغلال الموقع من قبل العميل بتاريخ 31/05/2023.
•	تم ارسال خطاب اخلاء  .</t>
  </si>
  <si>
    <t>RY6-22</t>
  </si>
  <si>
    <t>شركة فادن للمقاولات</t>
  </si>
  <si>
    <t>•	خروج فريق العمل الميداني بالشركة ومعاينة الموقع والتاكد من وجود العميل بتاريخ 31/05/2023 .</t>
  </si>
  <si>
    <t>RY7-19</t>
  </si>
  <si>
    <t>مؤسسة جنيا للمقاولات</t>
  </si>
  <si>
    <t>•	خروج فريق العمل الميداني ومعاينة الموقع والتاكد من وجود العميل بتاريخ 13/03/2023 .
•	 خروج فريق العمل بالشركة ومعاينة الموقع والتاكد من وجود العميل وتم ارسال خطاب الاخلاء للارض بتاريخ19/12/2023  .
•	 تم اخلاء الموقع من قبل العميل وتم عمل عقد جديد لعميل اخر بتاريخ 15/03/2024.</t>
  </si>
  <si>
    <t>مؤسسة العمر للإستيراد والتجارة</t>
  </si>
  <si>
    <t>•	خروج فريق العمل الميداني ومعاينة الموقع والتاكد من وجود العميل بتاريخ 31/05/2023 .  
•	خروج فريق العمل بالشركة ومعاينة الموقع والتاكد من وجود العميل وتم ارسال خطاب الاخلاء للارض بتاريخ  .15/11/2023
•	  تم اخلاء الموقع من قبل العميل وتم عمل عقد جديد لعميل اخر بتاريخ  5/01/2024 .</t>
  </si>
  <si>
    <t>RY9-10</t>
  </si>
  <si>
    <t>مؤسسة المغير</t>
  </si>
  <si>
    <t>•	خروج فريق العمل الميداني ومعاينة الموقع والتاكد من وجود العميل بتاريخ 1/06/2023.
•	 تم ارسال خطاب اخلاء بتاريخ 15/11/2023 .
•	 تم اخلاء الموقع من قبل العميل وتم عمل عقد جديد لعميل اخر بتاريخ 10/01/2024.</t>
  </si>
  <si>
    <t>RY5-70&amp;72-RY6-2</t>
  </si>
  <si>
    <t>شركة مشاريع التخزين والإمداد</t>
  </si>
  <si>
    <t xml:space="preserve">•	خروج فريق العمل الميداني بالشركة ومعاينة الموقع والتاكد من وجود التعدي . 
•	خروج فريق العمل الميداني بالشركة ومعاينة الموقع والتأكد من اخلاء بعض المستودعات وجاري التنسيق مع المصفي من قبل الادارة القانونية . </t>
  </si>
  <si>
    <t>RY4-3&amp;4</t>
  </si>
  <si>
    <t>•	خروج فريق العمل الميداني بالشركة ومعاينة الموقع والتأكد من اخلاء بعض المستودعات وجاري التنسيق مع المصفي من قبل الادارة القانونية .</t>
  </si>
  <si>
    <t>RY22-8&amp;10&amp;12</t>
  </si>
  <si>
    <t>شركة غدير فالح الدوسري وشريكه للتجارة والمقاولات</t>
  </si>
  <si>
    <t>•	خروج فريق العمل الميداني بالشركة والتأكد من استغلال الموقع من قبل العميل بتاريخ (01/02/2023) .</t>
  </si>
  <si>
    <t>الظهران</t>
  </si>
  <si>
    <t>DH5-37</t>
  </si>
  <si>
    <t>محسن منير عماش العمري</t>
  </si>
  <si>
    <t>30924185265</t>
  </si>
  <si>
    <t xml:space="preserve">•	خروج فريق العمل الميداني بالشركة ومعاينة الموقع والتاكد من وجود التعدي  .
•	تم معاينة الموقع من قبل فريق سار بتاريخ 29/07/2024 .
•	تم الوقوف على الطبيعة بتاريخ 2025/11/26 برفقة  مندوب لجنة التعديات في الأمارة وطلب من المتعديين مراجعة لجنة التعديات خلال الاسبوع القادم لاخذ التعهدات عليهم باخلاء الموقع او تجديد العقد. 
•	تم ارسال خطاب رقم 6327/2025 بتاريخ 11/11/2025 خطاب اخلاء ومراجعة ادارة التطوير العقاري بالشركة.
•	 تم ارسال خطاب رقم 6295/2025 بتاريخ10/11/2025 الى لجنة التعاديات بأمارة المنطقة الشرقية بشأن إزالة التعدي .
- تم تسجيل واقعة  إيجارية
</t>
  </si>
  <si>
    <t>DH6-3-5</t>
  </si>
  <si>
    <t>منيف صالح المنيف للتجارة</t>
  </si>
  <si>
    <t>30226517262</t>
  </si>
  <si>
    <r>
      <t xml:space="preserve">•	خروج فريق العمل الميداني بالشركة ومعاينة الموقع والتاكد من وجود التعدي .
•	تم معاينة الموقع من قبل فريق سار بتاريخ 29/07/2024  .
•	 تم ارسال خطاب رقم 6298/2025 بتاريخ10/11/2025 الى لجنة التعاديات بأمارة المنطقة الشرقية بشأن إزالة التعدي .
</t>
    </r>
    <r>
      <rPr>
        <sz val="9"/>
        <color rgb="FFFF0000"/>
        <rFont val="Sakkal Majalla"/>
      </rPr>
      <t xml:space="preserve">تم رفع  واقعة ايجارية عن طريق منصة ايجار </t>
    </r>
  </si>
  <si>
    <t>DH5-41</t>
  </si>
  <si>
    <t>مؤسسة حمد عبدالله المانعي التجارية</t>
  </si>
  <si>
    <t>30162095234</t>
  </si>
  <si>
    <t xml:space="preserve">•	خروج فريق العمل الميداني بالشركة ومعاينة الموقع والتاكد من وجود التعدي . 
•	تم معاينة الموقع من قبل فريق سار بتاريخ 29/07/2024 .
•	تم الوقوف على الطبيعة بتاريخ 2025/11/26 برفقة  مندوب لجنة التعديات في الأمارة وطلب من المتعديين مراجعة لجنة التعديات خلال الاسبوع القادم لاخذ التعهدات عليهم باخلاء الموقع او تجديد العقد. 
•	تم ارسال خطاب رقم 6329/2025 بتاريخ 11/11/2025 خطاب اخلاء ومراجعة ادارة التطوير العقاري بالشركة.
•	 تم ارسال خطاب رقم 6296/2025 بتاريخ10/11/2025 الى لجنة التعاديات بأمارة المنطقة الشرقية بشأن إزالة التعدي .
-  تم تسجيل واقعة إيجارية
</t>
  </si>
  <si>
    <t>DH4-40</t>
  </si>
  <si>
    <t>مؤسسة عايض فرج القحطاني للتجارة والمقاولات</t>
  </si>
  <si>
    <t>30915149866</t>
  </si>
  <si>
    <r>
      <t xml:space="preserve">•	خروج فريق العمل الميداني بالشركة ومعاينة الموقع والتاكد من وجود التعدي.
•	 خروج فريق العمل الميداني بالشركة ومعاينة الموقع والتاكد من وجود التعدي  .
•	تم الوقوف على الطبيعة بتاريخ 2025/11/26 برفقة  مندوب لجنة التعديات في الأمارة وطلب من المتعديين مراجعة لجنة التعديات خلال الاسبوع القادم لاخذ التعهدات عليهم باخلاء الموقع او تجديد العقد  .
•	تم ارسال خطاب رقم 6328/2025 بتاريخ 11/11/2025 خطاب اخلاء ومراجعة ادارة التطوير العقاري بالشركة.
•	 تم ارسال خطاب رقم 6292/2025 بتاريخ10/11/2025 الى لجنة التعاديات بأمارة المنطقة الشرقية بشأن إزالة التعدي .
</t>
    </r>
    <r>
      <rPr>
        <sz val="9"/>
        <color rgb="FFFF0000"/>
        <rFont val="Sakkal Majalla"/>
      </rPr>
      <t xml:space="preserve">تم رفع  واقعة ايجارية عن طريق منصة ايجار </t>
    </r>
  </si>
  <si>
    <t>DH4-52-54</t>
  </si>
  <si>
    <t>مؤسسة فلاح حامد القحطاني للمقاولات</t>
  </si>
  <si>
    <t>30216491560</t>
  </si>
  <si>
    <r>
      <t xml:space="preserve">•	خروج فريق العمل الميداني بالشركة ومعاينة الموقع والتاكد من وجود التعدي . 
•	تم معاينة الموقع من قبل فريق سار بتاريخ 29/07/2024 .
•	تم الوقوف على الطبيعة بتاريخ 2025/11/26 برفقة  مندوب لجنة التعديات في الأمارة وطلب من المتعديين مراجعة لجنة التعديات خلال الاسبوع القادم لاخذ التعهدات عليهم باخلاء الموقع او تجديد العقد .
•	تم ارسال خطاب رقم 6330/2025 بتاريخ 11/11/2025 خطاب اخلاء ومراجعة ادارة التطوير العقاري بالشركة.
•	 تم ارسال خطاب رقم 6297/2025 بتاريخ10/11/2025 الى لجنة التعاديات بأمارة المنطقة الشرقية بشأن إزالة التعدي .
</t>
    </r>
    <r>
      <rPr>
        <sz val="9"/>
        <color rgb="FFFF0000"/>
        <rFont val="Sakkal Majalla"/>
      </rPr>
      <t xml:space="preserve">تم رفع  واقعة ايجارية عن طريق منصة ايجار </t>
    </r>
  </si>
  <si>
    <t>DH4-46</t>
  </si>
  <si>
    <t>مؤسسة محمد العبدالله للصيانة والمقاولات</t>
  </si>
  <si>
    <t>•	خروج فريق العمل الميداني بالشركة ومعاينة الموقع والتاكد من وجود التعدي
•	 تم معاينة الموقع من قبل فريق سار بتاريخ 29/07/2024 .
•	تم الوقوف على الطبيعة بتاريخ 2025/11/26 برفقة  مندوب لجنة التعديات في الأمارة وطلب من المتعديين مراجعة لجنة التعديات خلال الاسبوع القادم لاخذ التعهدات عليهم باخلاء الموقع او تجديد العقد .
•	تم ارسال خطاب رقم 6331/2025 بتاريخ 11/11/2025 خطاب اخلاء ومراجعة ادارة التطوير العقاري بالشركة.
•	 تم ارسال خطاب رقم 6293/2025 بتاريخ10/11/2025 الى لجنة التعاديات بأمارة المنطقة الشرقية بشأن إزالة التعدي .</t>
  </si>
  <si>
    <t>DH5-33</t>
  </si>
  <si>
    <t>مؤسسة مطلق سيف السبيعي للمقاولات</t>
  </si>
  <si>
    <t>30577618459</t>
  </si>
  <si>
    <r>
      <t xml:space="preserve">•	خروج فريق العمل الميداني بالشركة ومعاينة الموقع والتاكد من وجود التعدي . 
•	تم معاينة الموقع من قبل فريق سار بتاريخ 29/07/2024 . 
•	تم الوقوف على الطبيعة بتاريخ 2025/11/26 برفقة مندوب لجنة التعديات في الأمارة وطلب من المتعديين مراجعة لجنة التعديات خلال الاسبوع القادم لاخذ التعهدات عليهم باخلاء الموقع او تجديد العقد. 
•	تم ارسال خطاب رقم 6332/2025 بتاريخ 11/11/2025 خطاب اخلاء ومراجعة ادارة التطوير العقاري بالشركة.
•	 تم ارسال خطاب رقم 6294/2025 بتاريخ10/11/2025 الى لجنة التعاديات بأمارة المنطقة الشرقية بشأن إزالة التعدي .
</t>
    </r>
    <r>
      <rPr>
        <sz val="9"/>
        <color rgb="FFFF0000"/>
        <rFont val="Sakkal Majalla"/>
      </rPr>
      <t xml:space="preserve">تم رفع  واقعة ايجارية عن طريق منصة ايجار </t>
    </r>
  </si>
  <si>
    <t>DH6-34</t>
  </si>
  <si>
    <t>شركة اتحاد اتصالات (موبايلي)</t>
  </si>
  <si>
    <t>•	خروج فريق العمل الميداني بالشركة ومعاينة الموقع والتاكد من وجود التعدي  .
•	تم معاينة الموقع من قبل فريق سار بتاريخ 29/07/2024  .
•	 تم ارسال خطاب رقم 6288/2025 بتاريخ10/11/2025 الى لجنة التعاديات بأمارة المنطقة الشرقية بشأن إزالة التعدي .
- تمت المعالجة</t>
  </si>
  <si>
    <t>DH3-55</t>
  </si>
  <si>
    <t>شركة بندر الخليج</t>
  </si>
  <si>
    <t>•	خروج فريق العمل الميداني بالشركة ومعاينة الموقع والتاكد من وجود التعدي.
•	تم معاينة الموقع من قبل فريق سار بتاريخ 29/07/2024  .</t>
  </si>
  <si>
    <t>DH5-45</t>
  </si>
  <si>
    <t>مؤسسة خالد راشد البوحيمد للمقاولات</t>
  </si>
  <si>
    <t>الهفوف</t>
  </si>
  <si>
    <t>HF13-46</t>
  </si>
  <si>
    <t>شركة الخرس للاستثمار والتطوير العقاري القابضة</t>
  </si>
  <si>
    <t>30672130428</t>
  </si>
  <si>
    <t>•	خروج فريق العمل الميداني بالشركة ومعاينة الموقع والتاكد من وجود التعدي.
•	  تم معاينة الموقع من قبل فريق سار بتاريخ 01/08/2024  .
•	تم ارسال خطاب رقم 6337/2025 بتاريخ 11/11/2025 خطاب اخلاء ومراجعة ادارة التطوير العقاري بالشركة.
•	 تم ارسال خطاب رقم 6925/2025 25/12/2025 الى سعادة وكيل محافظة الأحساء بشأن إزالة التعدي .
- تحت إجراءات التسجيل كواقعة ايجارية</t>
  </si>
  <si>
    <t>HF13-45</t>
  </si>
  <si>
    <t>•	خروج فريق العمل الميداني بالشركة ومعاينة الموقع والتاكد من وجود التعدي  .
•	تم معاينة الموقع من قبل فريق سار بتاريخ 01/08/2024 . 
•	تم ارسال خطاب رقم 6337/2025 بتاريخ 11/11/2025 خطاب اخلاء ومراجعة ادارة التطوير العقاري بالشركة.
•	 تم ارسال خطاب رقم 6925/2025 25/12/2025 الى سعادة وكيل محافظة الأحساء بشأن إزالة التعدي .
- تم تسجيل واقعة إيجارية</t>
  </si>
  <si>
    <t>HF20-6</t>
  </si>
  <si>
    <t>مؤسسة البناء الأهلية للمقاولات</t>
  </si>
  <si>
    <t>30226197259</t>
  </si>
  <si>
    <r>
      <t xml:space="preserve">•	خروج فريق العمل الميداني بالشركة ومعاينة الموقع والتاكد من وجود التعدي  .
•	تم معاينة الموقع من قبل فريق سار بتاريخ 01/08/2024 . 
•	تم ارسال خطاب رقم 6340/2025 بتاريخ 11/11/2025 خطاب اخلاء ومراجعة ادارة التطوير العقاري بالشركة.
•	 تم ارسال خطاب رقم 6920/2025 25/12/2025 الى سعادة وكيل محافظة الأحساء بشأن إزالة التعدي .
</t>
    </r>
    <r>
      <rPr>
        <sz val="9"/>
        <color rgb="FFFF0000"/>
        <rFont val="Sakkal Majalla"/>
      </rPr>
      <t xml:space="preserve">تم رفع  واقعة ايجارية عن طريق منصة ايجار </t>
    </r>
  </si>
  <si>
    <t>HF20-11</t>
  </si>
  <si>
    <t>مؤسسة السماح لتأجير المعدات</t>
  </si>
  <si>
    <t>30405083536</t>
  </si>
  <si>
    <t>HF20-1</t>
  </si>
  <si>
    <t>مؤسسة الفياض للخرسانة الجاهزة</t>
  </si>
  <si>
    <t>30168178983</t>
  </si>
  <si>
    <r>
      <t xml:space="preserve">•	خروج فريق العمل الميداني بالشركة ومعاينة الموقع والتاكد من وجود التعدي  .
•	تم معاينة الموقع من قبل فريق سار بتاريخ 01/08/2024 . 
•	تم ارسال خطاب رقم 6339/2025 بتاريخ 11/11/2025 خطاب اخلاء ومراجعة ادارة التطوير العقاري بالشركة.
•	 تم ارسال خطاب رقم 6924/2025 25/12/2025 الى سعادة وكيل محافظة الأحساء بشأن إزالة التعدي . 
</t>
    </r>
    <r>
      <rPr>
        <sz val="9"/>
        <color rgb="FFFF0000"/>
        <rFont val="Sakkal Majalla"/>
      </rPr>
      <t xml:space="preserve">تم رفع  واقعة ايجارية عن طريق منصة ايجار </t>
    </r>
  </si>
  <si>
    <t>HF20-8</t>
  </si>
  <si>
    <t>مؤسسة آل فويلح للمقاولات وتأجير المعدات</t>
  </si>
  <si>
    <t>30512199100</t>
  </si>
  <si>
    <r>
      <t xml:space="preserve">•	خروج فريق العمل الميداني بالشركة ومعاينة الموقع والتاكد من وجود التعدي  .
•	تم معاينة الموقع من قبل فريق سار بتاريخ 01/08/2024 . 
•	تم ارسال خطاب رقم 6335/2025 بتاريخ 11/11/2025 خطاب اخلاء ومراجعة ادارة التطوير العقاري بالشركة.
•	 تم ارسال خطاب رقم 6926/2025 25/12/2025 الى سعادة وكيل محافظة الأحساء بشأن إزالة التعدي .
</t>
    </r>
    <r>
      <rPr>
        <sz val="9"/>
        <color rgb="FFFF0000"/>
        <rFont val="Sakkal Majalla"/>
      </rPr>
      <t xml:space="preserve">تم رفع  واقعة ايجارية عن طريق منصة ايجار </t>
    </r>
  </si>
  <si>
    <t>HF20-13</t>
  </si>
  <si>
    <t>مؤسسة سالم مبخوت الصيعري للنقليات</t>
  </si>
  <si>
    <t>30577565877</t>
  </si>
  <si>
    <r>
      <t xml:space="preserve">•	خروج فريق العمل الميداني بالشركة ومعايالموقع والتاكد من وجود التعدي
•	خروج فريق العمل الميداني بالشركة ومعاينة الموقع والتاكد من وجود التعدي 
•	 تم ارسال خطاب رقم 6923/2025 25/12/2025 الى سعادة وكيل محافظة الأحساء بشأن إزالة التعدي . 
</t>
    </r>
    <r>
      <rPr>
        <sz val="9"/>
        <color rgb="FFFF0000"/>
        <rFont val="Sakkal Majalla"/>
      </rPr>
      <t xml:space="preserve">تم رفع  واقعة ايجارية عن طريق منصة ايجار </t>
    </r>
  </si>
  <si>
    <t>HF20-22</t>
  </si>
  <si>
    <t>مؤسسة طويرش بن مسفر الدوسري لتأجير المعدات</t>
  </si>
  <si>
    <t>30746264813</t>
  </si>
  <si>
    <r>
      <t xml:space="preserve">•	خروج فريق العمل الميداني بالشركة ومعاينة الموقع والتاكد من وجود التعدي.
•	  تم معاينة الموقع من قبل فريق سار بتاريخ 01/08/2024 .
•	تم ارسال خطاب رقم 6336/2025 بتاريخ 11/11/2025 خطاب اخلاء ومراجعة ادارة التطوير العقاري بالشركة.
•	 تم ارسال خطاب رقم 6919/2025 25/12/2025 الى سعادة وكيل محافظة الأحساء بشأن إزالة التعدي .
</t>
    </r>
    <r>
      <rPr>
        <sz val="9"/>
        <color rgb="FFFF0000"/>
        <rFont val="Sakkal Majalla"/>
      </rPr>
      <t xml:space="preserve">تم رفع  واقعة ايجارية عن طريق منصة ايجار </t>
    </r>
  </si>
  <si>
    <t>HF20-2</t>
  </si>
  <si>
    <t>مؤسسة عبدالله سعد العضيلة</t>
  </si>
  <si>
    <t>30425152526</t>
  </si>
  <si>
    <t>•	خروج فريق العمل الميداني بالشركة ومعاينة الموقع والتاكد من وجود التعدي  .
•	تم معاينة الموقع من قبل فريق سار بتاريخ 01/08/2024 . 
•	تم ارسال خطاب رقم 6333/2025 بتاريخ 11/11/2025 خطاب اخلاء ومراجعة ادارة التطوير العقاري بالشركة.
•	 تم ارسال خطاب رقم 6921/2025 25/12/2025 الى سعادة وكيل محافظة الأحساء بشأن إزالة التعدي .
- تم تسجيل واقعة إيجارية</t>
  </si>
  <si>
    <t>HF20-3</t>
  </si>
  <si>
    <t>مؤسسة مشبب فهد الدوسري</t>
  </si>
  <si>
    <t>30858058910</t>
  </si>
  <si>
    <t>•	خروج فريق العمل الميداني بالشركة ومعاينة الموقع والتاكد من وجود التعدي  .
•	تم معاينة الموقع من قبل فريق سار بتاريخ 01/08/2024 . 
•	 تم ارسال خطاب رقم 6927/2025 25/12/2025 الى سعادة وكيل محافظة الأحساء بشأن إزالة التعدي .
- تم تسجيل واقعة إيجارية</t>
  </si>
  <si>
    <t>حرض</t>
  </si>
  <si>
    <t>HR131-31</t>
  </si>
  <si>
    <t>•	خروج فريق العمل الميداني بالشركة ومعاينة الموقع والتاكد من وجود التعدي  .
•	تم معاينة الموقع من قبل فريق سار بتاريخ 21/08/2024 .</t>
  </si>
  <si>
    <t>هاف مون</t>
  </si>
  <si>
    <t>HM3-50</t>
  </si>
  <si>
    <t>شركة الإتصالات السعودية</t>
  </si>
  <si>
    <t>•	خروج فريق العمل الميداني بالشركة ومعاينة الموقع والتاكد من وجود التعدي.  
•	تم معاينة الموقع من قبل فريق سار بتاريخ 12/08/2024 .
•	 تم ارسال خطاب رقم 6289/2025 بتاريخ10/11/2025 الى لجنة التعاديات بأمارة المنطقة الشرقية بشأن إزالة التعدي .
- تحت إجراءات التسجيل كواقعة ايجارية</t>
  </si>
  <si>
    <t>HM3-14-16-18-20-22</t>
  </si>
  <si>
    <t>شركة ميزات الخليج لخدمات مساندة المشاريع</t>
  </si>
  <si>
    <t xml:space="preserve">•	خروج فريق العمل الميداني بالشركة ومعاينة الموقع والتاكد من وجود التعدي .
•	تم معاينة الموقع من قبل فريق سار بتاريخ 12/08/2024 . 
•	 تم ارسال خطاب رقم 6299/2025 بتاريخ10/11/2025 الى لجنة التعاديات بأمارة المنطقة الشرقية بشأن إزالة التعدي .
- </t>
  </si>
  <si>
    <t>HM3-8-10</t>
  </si>
  <si>
    <t>مؤسسة مسلط حمد العتيبي للتجارة والمقاولات</t>
  </si>
  <si>
    <t xml:space="preserve">•	خروج فريق العمل الميداني بالشركة ومعاينة الموقع والتاكد من وجود التعدي.
•	  تم معاينة الموقع من قبل فريق سار بتاريخ 12/08/2024 .
•	تم ارسال خطاب رقم 6338/2025 بتاريخ 11/11/2025 خطاب اخلاء ومراجعة ادارة التطوير العقاري بالشركة.
•	 تم ارسال خطاب رقم 6286/2025 بتاريخ10/11/2025 الى لجنة التعاديات بأمارة المنطقة الشرقية بشأن إزالة التعدي .
- </t>
  </si>
  <si>
    <t>Total</t>
  </si>
  <si>
    <t xml:space="preserve">التصنيف </t>
  </si>
  <si>
    <t>حالة التعدي</t>
  </si>
  <si>
    <t xml:space="preserve">رقم بلاغ الشرطة </t>
  </si>
  <si>
    <t>الإجراءات</t>
  </si>
  <si>
    <t>الاحساء</t>
  </si>
  <si>
    <t>HF20-7</t>
  </si>
  <si>
    <t>مؤسسة الفاروم</t>
  </si>
  <si>
    <t xml:space="preserve">تعدى </t>
  </si>
  <si>
    <t xml:space="preserve"> تم الإخلاء</t>
  </si>
  <si>
    <t>•	تم الوقوف على الطبيعة من قبل فريق العمل بالشركة بمرافقة الأمن الصناعي، وإعداد محضر تعدٍ بتاريخ 01/08/2024.
•	 تم توجيه خطاب إلى سعادة رئيس لجنة التعديات بإمارة المنطقة الشرقية رقم (1771) وتاريخ 17/12/2024، وذلك بناءً على قرار مجلس الوزراء رقم (487) بخصوص قواعد ومراقبة عقارات الدولة وإزالة التعديات.
•	وردتنا برقية من وكيل إمارة المنطقة الشرقية رقم (339057) وتاريخ 04/02/2025، مفادها أنه تم إعداد محضر بخصوص ذلك، ويتضمن تزويد محافظة الأحساء بإحداثيات المواقع وصور، وأن تكون كل معاملة منفصلة.
•	تم توجيه خطاب إلى محافظة الأحساء رقم (3438-2025) وتاريخ 23/04/2025، وتم تزويدهم بالطلبات الواردة في المحضر المُشكَّل من طرفهم.
•	 وردنا خطاب من سعادة وكيل محافظة الأحساء رقم (399778) وتاريخ 05/08/2025، يتضمن أنه تم التنسيق مع ممثل شركة سار ولم يتم الرد من طرفه.
•	تم الرد على محافظة الأحساء رقم (5503-2025) وتاريخ 11/09/2025م، بأن ممثل الشركة كان يتمتع بإجازته السنوية. 
•	تم الوقوف على الطبيعة بمرافقة اللجنة المشكلة من قبل الإمارة بتاريخ 22/09/2025، وتم وضع ملصقات على السور لاستدعاء المتعدي، وجارٍ اتخاذ الإجراءات النظامية من قبل الإمارة. 
•	قامت محافظة الأحساء بتوجيه خطاب إلى سعادة مدير شرطة المحافظة رقم (477664) وتاريخ 28/09/2025، بشأن طلب من الشرطة أخذ إفادة من ممثل مؤسسة الفاروم، والأسباب النظامية التي خولته العمل بالموقع. 
•	قامت الشرطة بتوجيه خطاب إلى محافظة الأحساء رقم (470116679) وتاريخ 15/10/2025، بأنه تم إحضار المدعو سلمان  الفاروم ومناقشته حيال ذلك. 
•	قامت محافظة الأحساء بالرد على الشرطة رقم (493355) وتاريخ 30/10/2025، ويتضمن تكليف سلمان بإخلاء الأرض وتسليمها إلى شركة سار.  
•	قامت الشرطة بتوجيه خطاب إلى محافظة الأحساء رقم (4701166798) وتاريخ 24/11/2025، بأنه تم عمل إقرار بخصوص ذلك. 
•	قامت سعادة وكيل محافظة الأحساء بتوجيه خطاب إلى سعادة النائب الأول للتطوير العقاري رقم (519648) وتاريخ 01/12/2025، يتضمن أنه في حال عدم قيام مؤسسة الفاروم بإخلاء الموقع يتم الرفع من قبلكم للجهة المختصة.
- تم تكليف دورية الامن الصناعي لمنع استخدام الارض والمتعدي لا يتجاوب وجاري التنسيق مع الشرطة من قبل ادارة الامن الصناعي
- تم اخلاء الارض المتعدى عليها من قبل مؤسسة الفاروم بالاحساء من قبل الامن الصناعي وشرطة الاحساء ويلزم الامر اغلاق الموقع او ازالته المنشآت لحماية الارض من التعدي مستقبلاً ( تاريخ وصول إيميل الإخلاء - 5-7-2026)</t>
  </si>
  <si>
    <t xml:space="preserve">الخرج </t>
  </si>
  <si>
    <t>RY48-32 to RY49-16</t>
  </si>
  <si>
    <t xml:space="preserve">مزرعة الوهيبى </t>
  </si>
  <si>
    <t xml:space="preserve">تم الاخلاء </t>
  </si>
  <si>
    <t>•	خروج فريق العمل الميداني بالشركة والتأكد من استغلال الموقع من قبل العميل
•	خروج فريق العمل الميداني بالشركة ومعاينة الموقع والتأكد من وجود التعدي وضع ملصقات بالمراجعة من البلدية تم طلب ايجار موقع رقم ( RY8-39-40  )
•	تم معاينة الموقع من قبل فريق سار وومثل البلدية وتم وضع ملصقات مراجعة بتاريخ 23-04-2025 
•	تم الاخلاء</t>
  </si>
  <si>
    <t>HR131</t>
  </si>
  <si>
    <t>مدغث سالم الدوسري</t>
  </si>
  <si>
    <t>•	تم الوقوف على الطبيعة من قبل فريق العمل بالشركة بمرافقة الامن الصناعي واعداد محضر تعدي بتاريخ1/8/2024م
•	الرفع  لوكيل امارة الاحساء لتقديم الدعم اللازم لازالته التعديات بموجب الخطاب رقم 3445/2025 وتاريخ 23/4/2025م
•	الوقوف على الطبيعة بمرافقة اللجنة المشكلة من قبل الامارة بتاريخ 18/2/1447هـ وتم وضع ملصقات على السور  لاستدعاء المتعدي وجاري اتخاذ الاجراءات النظامية من قبل الامارة 
•	تم الوقوف على موقع التعدي من قبل اللجنة المشكلة من أمارة الا حساء وتبين ازالة التعدي من قبل المتعدي بعد استدعائه واخد التعهدات علية ولكن تبقى بعض الاخشاب   وبعض الانقاض في الموقع وهي ليست من صلاحيات اللجنة</t>
  </si>
  <si>
    <t>بدون</t>
  </si>
  <si>
    <t xml:space="preserve">كفينا كافية </t>
  </si>
  <si>
    <t>•	تم الوقوف على الطبيعة من قبل فريق العمل بالشركة بمرافقة الامن الصناعي واعداد محضر تعدي بتاريخ1/8/2024م
•	الرفع لوكيل امارة الاحساء لتقديم الدعم اللازم لازالة التعديات بموجب الخطاب رقم 3441/2025 وتاريخ 23/4/2025م
•	الوقوف على الطبيعة بمرافقة اللجنة المشكلة من قبل الامارة بتاريخ 30/3/1447هـ وتم وضع ملصقات على الكفي لاستعداء المتعدي وجاري اتخاذ الاجراءات النظامية من قبل الامارة
•	تم ازالة الكفي</t>
  </si>
  <si>
    <t>كفينا</t>
  </si>
  <si>
    <t>•	تم الوقوف على الطبيعة من قبل فريق العمل بالشركة بمرافقة الامن الصناعي واعداد محضر تعدي بتاريخ1/8/2024م
•	الرفع  لوكيل امارة الاحساء لتقديم الدعم اللازم لازالة التعديات بموجب الخطاب رقم 3441/2025 وتاريخ 23/4/2025م
•	الوقوف على الطبيعة بمرافقة اللجنة المشكلة من قبل الامارة بتاريخ 30/3/1447هـ وتم وضع ملصقات على الكفي لاستعداء المتعدي 
•	تم ازالة الهيكل الخارجي للكفي وتبقى الطابوق تاريخ الكشف 24/12/2025</t>
  </si>
  <si>
    <t>التويضحية</t>
  </si>
  <si>
    <t>RY80-19</t>
  </si>
  <si>
    <t>عمل حوش للأغنام وتركيب كاميرات مراقبة (التوضيحية)</t>
  </si>
  <si>
    <t>تم الازاله</t>
  </si>
  <si>
    <t>درويش عبدالله الغامدي</t>
  </si>
  <si>
    <t>•	تم الوقوف على الطبيعة من قبل فريق العمل بالشركة بمرافقة الامن الصناعي واعداد محضر تعدي بتاريخ1/8/2024م
•	الرفع  لوكيل امارة الاحساء لتقديم الدعم اللازم لازالة التعديات بموجب الخطاب رقم 3445/2025 وتاريخ 23/4/2025م
•	الوقوف على الطبيعة بمرافقة اللجنة المشكلة من قبل الامارة بتاريخ 18/2/1447هـ وتم وضع ملصقات على السور لاستدعاء المتعدي وجاري اتخاذ الاجراءات النظامية من قبل الامارة 
•	حسب افادة مندوب الامارة بأنة صدرة علية امر الازالة.</t>
  </si>
  <si>
    <t>الرائد العربي</t>
  </si>
  <si>
    <t>الامير عبدالرحمن بن خالد</t>
  </si>
  <si>
    <t>DM6-4-5-6-8-9</t>
  </si>
  <si>
    <t>ابراهيم علي القحطاني</t>
  </si>
  <si>
    <t>محضر معاينة بتاريخ 28/1/2026</t>
  </si>
  <si>
    <t>الخرج</t>
  </si>
  <si>
    <t>RY31 (7-9-11-13-15-17-19-21-23-25-
27-29-31-33-35-37-39-41-43)</t>
  </si>
  <si>
    <t>والدة الأمير سعود بن تركي بن سلمان
 بن عبدالعزيز آل سعود</t>
  </si>
  <si>
    <t xml:space="preserve"> قائم</t>
  </si>
  <si>
    <t>•	م الوقوف على الطبيعة من قبل فريق العمل بالشركة، بمرافقة الأمن الصناعي، وإعداد محضر تعدٍ بتاريخ 27/08/2024م.
•	تم توجيه خطاب إلى سعادة رئيس لجنة التعديات بإمارة منطقة الرياض رقم (1774) وتاريخ 17/12/2024م، وذلك بناءً على قرار مجلس الوزراء رقم (487) المتعلق بقواعد مراقبة عقارات الدولة وإزالة التعديات.
•	ورد إلى شركة «سار» خطاب من رئيس بلدية الخرج رقم (4600144949) وتاريخ 30/01/2025م، مرفقًا به خرائط موضح عليها نقاط التعديات.
•	قامت الشركة بمتابعة الموضوع، وتم توجيه خطاب إلى سعادة وكيل إمارة منطقة الرياض رقم (3447/2025) وتاريخ 23/04/2025م، وذلك للتنسيق للقيام بالمعاينة الميدانية والوقوف على مواقع التعديات. 
•	قامت الشركة بتوجيه خطاب إلحاقي إلى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جارٍ اتخاذها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	 ورد إلى الشركة نسخة من خطاب صاحب السمو الملكي محافظ الخرج، الموجّه إلى صاحب السمو الملكي أمير منطقة الرياض رقم (5995) وتاريخ  18/1/2026، والمتضمن مخاطبة والدة الأمير سعود بن تركي آل سعود بشأن تزويد اللجنة بالمستمسكات الشرعية.
--تم ارسال خطاب لسمو أمحافظ الخرج 14-7-2026</t>
  </si>
  <si>
    <t>هادي علي المري</t>
  </si>
  <si>
    <t>•	تم الوقوف على الطبيعة من قبل فريق العمل بالشركة بمرافقة الامن الصناعي واعداد محضر تعدي بتاريخ1/8/2024م
•	الرفع  لوكيل امارة الاحساء لتقديم الدعم اللازم لازالة التعديات بموجب الخطاب رقم 3445/2025 وتاريخ 23/4/2025م
•	الوقوف على الطبيعة بمرافقة اللجنة المشكلة من قبل الامارة بتاريخ 18/2/1447هـ وتم وضع ملصقات على السور  لاستدعاء المتعدي 
•	وردنا خطاب وكيل الامارة رقم 439025 وتاريخ 2/4/1447هـ مفادة بأنة راجعهم المواطن المذكور وافاد بأن بأن لديه طلب بمنصة احكام برقم (1481646)</t>
  </si>
  <si>
    <t>BQ</t>
  </si>
  <si>
    <t>مؤسسة حسين المويشير</t>
  </si>
  <si>
    <t>•	تم الوقوف على الطبيعة من قبل فريق العمل بالشركة، بمرافقة الأمن الصناعي، وإعداد محضر تعدٍّ بتاريخ 31/07/2024م.  
•	تم توجيه خطاب إلى سعادة رئيس لجنة التعديات بإمارة المنطقة الشرقية رقم (1771) وتاريخ 17/12/2024م، وذلك استنادًا إلى قرار مجلس الوزراء رقم (487) بشأن قواعد مراقبة عقارات الدولة وإزالة التعديات.  
•	وردتنا برقية من سعادة وكيل إمارة المنطقة الشرقية رقم (339057) وتاريخ 04/02/2025م، أفادت بأنه تم إعداد محضر بهذا الخصوص، ويتضمن تزويد محافظة الأحساء بإحداثيات المواقع والصور، مع التأكيد على أن تكون كل معاملة على حدة .  
•	تم توجيه خطاب إلى محافظة الأحساء رقم (3437/2025) وتاريخ 23/04/2025م، جرى من خلاله تزويدهم بالطلبات الواردة في المحضر المشكَّل من طرفهم.  
•	وردنا خطاب من سعادة وكيل محافظة الأحساء رقم (399774) وتاريخ 02/07/2025م، تضمن الإفادة بوجود عقد مع أمانة الأحساء، وطلب المحافظة التنسيق مع الأمانة. 
•	تم  خطاب توجيه أمين محافظة الأحساء رقم (5793/2025) وتاريخ 06/10/2025م، بشأن تأجير الأرض من قبل الأمانة، مع الإفادة بأن شركة «سار» هي المالكة للأرض محل الموضوع.
-- تم توجيه خطاب لامين الاحساء  لتزويدتنا بالاحدثيات - 21-7-2026</t>
  </si>
  <si>
    <t>RY8-39&amp;41</t>
  </si>
  <si>
    <t>مؤسسة الفيفي +شركة تيجان هوم</t>
  </si>
  <si>
    <t xml:space="preserve">•	خروج فريق العمل الميداني بالشركة والتأكد من استغلال الموقع من قبل العميل
•	خروج فريق العمل الميداني بالشركة ومعاينة الموقع والتأكد من وجود العميل وغير متجاوب تم اشعاره بالاخلاء وضع ملصقات بالمراجعة من البلدية وعمل بلاغ بالشرطة رقم 4402607620
•	تم الخروج مع الامن الصناعي والبلدية ومخالفة المتعدي وتم مراجعة العميل للشركة وتم تصحيح وضعه التعاقدي2025/04/23
تم توجيه خطاب  إلأحاقي إلى رئيس لجنة التعديات بامارة منطقة الرياض لتقديم الدعم اللازم رقم الخطاب 1136 / 2026 وتاريخ 13/4/2026 م 
-محضر معاينة بتاريخ 8/4/2026م
- تم إرسال خطاب لرئيس لجنة التعديات بأمارة الرياض 22-6-2026
- </t>
  </si>
  <si>
    <t>مقبل محمد العرجاني</t>
  </si>
  <si>
    <t>RY22-23-25</t>
  </si>
  <si>
    <t>مصنع تمور الرياض</t>
  </si>
  <si>
    <t>•	تم توجيه خطاب إلى سعادة رئيس لجنة التعديات بإمارة منطقة الرياض رقم (1774) وتاريخ 17/12/2024م، وذلك بناءً على قرار مجلس الوزراء رقم (487) الخاص بقواعد مراقبة عقارات الدولة وإزالة التعديات.
•	وردنا خطاب رئيس بلدية محافظة الخرج رقم داخلي 5913 وتاريخ 11/2/2025
•	تم توجيه خطابنا رقم 3447 وتاريخ 23/4،2025 إلى سعادة وكيل إمارة منطقة الرياض
•	تم توجيه خطاب إلحاقي لرئيس لجنة التعديات بإمارة منطقة الرياض رقم 4279 وتاريخ 19/6/2025
•	محضر معاينة التعديات  من قبل مندوب البلدية ومندوب الزراعة ومندوب المحافظة بالإضافة إلى مندوب الشركة بتاريخ 18/9/2025
•	خطاب وكيل محافظة الخرج الملكف رقم 2844 وتاريخ 6/10/2025 الموجه إلى مدير مكتب وزارة البيئة والمياه والزراعة بمحافظة الخرج 
خطاب وزارة البيئة والمياه والزراعة  رقم 21046896 وتاريخ 21/12/2025 موجه إلى وكيل محافظة الخرج
- تم توجيه خطاب  إلأحاقي إلى رئيس لجنة التعديات بامارة منطقة الرياض لتقديم الدعم اللازم رقم الخطاب 1136 / 2026 وتاريخ 13/4/2026 م 
 محضر معاينة بتاريخ 7/4/2026 م 
تم إرسال خطاب لرئيس لجنة التعديات بأمارة الرياض 13-4-2026
--تم ارسال خطاب لرئيس لجنة التعديات بأمارة الرياض 22-6-2026</t>
  </si>
  <si>
    <t>RY42-7 TO RY42-33</t>
  </si>
  <si>
    <t xml:space="preserve">مسعود بن حليمان بن هادى حويل الجعيدى </t>
  </si>
  <si>
    <t>أفاد مركز الشرطة بأنه تم إحالة المعاملة إلى النيابة العامة بمحافظة الخرج برقم الإحالة (33997556) وبرقم مرجعي (1082135) وتاريخ 23 يوليو 2025م</t>
  </si>
  <si>
    <t>•	تم الوقوف على الطبيعة من قبل فريق العمل بالشركة، بمرافقة الأمن الصناعي، وإعداد محضر تعدٍّ بتاريخ 10/12/2024. 
•	تم توجيه خطاب إلى سعادة رئيس لجنة التعديات بإمارة منطقة الرياض رقم (1774) وتاريخ 17/12/2024م، وذلك استنادًا إلى قرار مجلس الوزراء رقم (487) بشأن قواعد مراقبة عقارات الدولة وإزالة التعديات. 
•	ورد إلى شركة «سار» خطاب من سعادة رئيس بلدية الخرج رقم (4600144949) وتاريخ 30/01/2025م، مرفقًا به خرائط موضحًا عليها نقاط التعديات . 
•	قامت الشركة بمتابعة الموضوع، وتم توجيه خطاب إلى سعادة وكيل إمارة منطقة الرياض برقم (3447/2025) وتاريخ 23/04/2025م، وذلك للتنسيق بشأن القيام بالمعاينة الميدانية والوقوف على مواقع التعديات.
•	قامت الشركة بتوجيه خطاب إلحاقي إلى سعادة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حيال التعديات قيد الاستكمال من قبل الإمارة. 
•	تم الخروج ميدانيًا مع الشرطة والأمن الصناعي، وإحالة الموضوع إلى الإدارة القانونية وفتح قضية بتاريخ 26/06/2025م. 
•	تم الخروج مع محافظة الخرج بتاريخ 21/10/2025م لاستكمال الإجراءات النظامية اللازمة.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---تم ارسال خطاب لسمو محافظ الخرج 14-7-2026</t>
  </si>
  <si>
    <t>RY50-20-22</t>
  </si>
  <si>
    <t>مسعد عبد الرحمن العنقري</t>
  </si>
  <si>
    <t>•	م الوقوف على الطبيعة من قبل فريق العمل بالشركة، بمرافقة الأمن الصناعي، وإعداد محضر تعدٍ بتاريخ 27/08/2024م.
•	تم توجيه خطاب إلى سعادة رئيس لجنة التعديات بإمارة منطقة الرياض رقم (1774) وتاريخ 17/12/2024م، وذلك بناءً على قرار مجلس الوزراء رقم (487) المتعلق بقواعد مراقبة عقارات الدولة وإزالة التعديات.
•	ورد إلى شركة «سار» خطاب من رئيس بلدية الخرج رقم (4600144949) وتاريخ 30/01/2025م، مرفقًا به خرائط موضح عليها نقاط التعديات.
•	قامت الشركة بمتابعة الموضوع، وتم توجيه خطاب إلى سعادة وكيل إمارة منطقة الرياض رقم (3447/2025) وتاريخ 23/04/2025م، وذلك للتنسيق للقيام بالمعاينة الميدانية والوقوف على مواقع التعديات. 
•	قامت الشركة بتوجيه خطاب إلحاقي إلى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جارٍ اتخاذها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---تم ارسال خطاب لسمو محافظ الخرج 14-7-2026</t>
  </si>
  <si>
    <t>مسجد</t>
  </si>
  <si>
    <t>•	تم الوقوف على الطبيعة من قبل فريق العمل بالشركة بمرافقة الامن الصناعي واعداد محضر تعدي بتاريخ1/8/2024م
•	الرفع  لوكيل امارة الاحساء لتقديم الدعم اللازم لازالة التعديات بموجب الخطاب رقم 3445/2025 وتاريخ 23/4/2025م
•	الوقوف على الطبيعة بمرافقة اللجنة المشكلة من قبل الامارة بتاريخ 18/2/1447هـ وتم وضع ملصقات على المبنى لاستدعاء الوكيل الشرعي وجاري اتخاذ الاجراءات النظامية من قبل الامارة</t>
  </si>
  <si>
    <t>HR132</t>
  </si>
  <si>
    <t>•	تم الوقوف على الطبيعة من قبل فريق العمل بالشركة بمرافقة الامن الصناعي واعداد محضر تعدي بتاريخ1/8/2024م
•	الرفع لوكيل امارة الاحساء لتقديم الدعم اللازم لازالة التعديات بموجب الخطاب رقم 3445/2025 وتاريخ 23/4/2025م
•	الوقوف على الطبيعة بمرافقة اللجنة المشكلة من قبل الامارة بتاريخ 18/2/1447هـ وتم وضع ملصقات على المبنى لاستدعاء الوكيل الشرعي  وجاري اتخاذ الاجراءات النظامية من قبل الامارة</t>
  </si>
  <si>
    <t>RY22-5-7-9</t>
  </si>
  <si>
    <t>مزرعة منبع الخالدية الحكير</t>
  </si>
  <si>
    <t>•	تم توجيه خطاب إلى سعادة رئيس لجنة التعديات بإمارة منطقة الرياض رقم (1774) وتاريخ 17/12/2024م، وذلك بناءً على قرار مجلس الوزراء رقم (487) الخاص بقواعد مراقبة عقارات الدولة وإزالة التعديات.
•	وردنا خطاب رئيس بلدية محافظة الخرج رقم داخلي 5913 وتاريخ 11/2/2025
•	تم توجيه خطابنا رقم 3447 وتاريخ 23/4،2025 إلى سعادة وكيل إمارة منطقة الرياض
•	تم توجيه خطاب إلحاقي لرئيس لجنة التعديات بإمارة منطقة الرياض رقم 4279 وتاريخ 19/6/2025
•	محضر معاينة التعديات  من قبل مندوب البلدية ومندوب الزراعة ومندوب المحافظة بالإضافة إلى مندوب الشركة بتاريخ 18/9/2025
•	خطاب وكيل محافظة الخرج الملكف رقم 2844 وتاريخ 6/10/2025 الموجه إلى مدير مكتب وزارة البيئة والمياه والزراعة بمحافظة الخرج 
خطاب وزارة البيئة والمياه والزراعة  رقم 21046896 وتاريخ 21/12/2025 موجه إلى وكيل محافظة الخرج
- تم توجيه خطاب  إلأحاقي إلى رئيس لجنة التعديات بامارة منطقة الرياض لتقديم الدعم اللازم رقم الخطاب 1136 / 2026 وتاريخ 13/4/2026 م 
 محضر معاينة بتاريخ 7/4/2026 م 
تم إرسال خطاب لرئيس لجنة التعديات بأمارة الرياض 13-4-2026
--تم ارسال خطاب لرئيس لجنة التعديات بأمارة الرياض 22-6-2026</t>
  </si>
  <si>
    <t>RY52-26 TO RY52-40</t>
  </si>
  <si>
    <t>مزرعة لبون</t>
  </si>
  <si>
    <t>•	تم الوقوف على الطبيعة من قبل فريق العمل بالشركة، بمرافقة الأمن الصناعي، وإعداد محضر تعدٍ بتاريخ 28/08/2024م.  
•	تم توجيه خطاب إلى سعادة رئيس لجنة التعديات بإمارة منطقة الرياض رقم (1774) وتاريخ 17/12/2024م، وذلك بناءً على قرار مجلس الوزراء رقم (487) المتعلق بقواعد مراقبة عقارات الدولة وإزالة التعديات.   
•	رد إلى شركة «سار» خطاب من رئيس بلدية الخرج رقم (4600144949) وتاريخ 30/01/2025م، مرفقًا به خرائط موضح عليها نقاط التعديات.  
•	قامت الشركة بتوجيه خطاب إلحاقي إلى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جارٍ اتخاذها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--تم ارسال خطاب لسمو لمحافظ الخرج 14-7-2026</t>
  </si>
  <si>
    <t>RY80</t>
  </si>
  <si>
    <t>مزرعة على التعريجة المثلثة</t>
  </si>
  <si>
    <t>•	تم الوقوف على الطبيعة من قبل فريق العمل بالشركة، بمرافقة الأمن الصناعي، وإعداد محضر تعدٍّ بتاريخ 22/08/2024. 
•	تم توجيه خطاب إلى سعادة رئيس لجنة التعديات بإمارة منطقة الرياض رقم (1774) وتاريخ 17/12/2024م، وذلك استنادًا إلى قرار مجلس الوزراء رقم (487) بشأن قواعد مراقبة عقارات الدولة وإزالة التعديات. 
•	ورد إلى شركة «سار» خطاب من سعادة رئيس بلدية الخرج رقم (4600144949) وتاريخ 30/01/2025م، بخصوص إرفاق خرائط موضحًا عليها نقاط التعديات.  
•	قامت الشركة بمتابعة الموضوع، وتم توجيه خطاب إلى سعادة وكيل إمارة منطقة الرياض برقم (3447/2025) وتاريخ 23/04/2025م، وذلك للتنسيق بشأن القيام بالمعاينة الميدانية والوقوف على مواقع التعديات. 
•	قامت الشركة بتوجيه خطاب إلحاقي إلى سعادة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حيال التعديات قيد الاستكمال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t>
  </si>
  <si>
    <t xml:space="preserve">RY28 (16-18-20-22-24) </t>
  </si>
  <si>
    <t>مزرعة القناص</t>
  </si>
  <si>
    <t xml:space="preserve">RY28 (26-28-30-32-34-36-38-40-42) </t>
  </si>
  <si>
    <t xml:space="preserve">مزرعة الفوزان </t>
  </si>
  <si>
    <t>•	تم توجيه خطاب إلى سعادة رئيس لجنة التعديات بإمارة منطقة الرياض رقم (1774) وتاريخ 17/12/2024م، وذلك بناءً على قرار مجلس الوزراء رقم (487) الخاص بقواعد مراقبة عقارات الدولة وإزالة التعديات.
•	وردنا خطاب رئيس بلدية محافظة الخرج رقم داخلي 5913 وتاريخ 11/2/2025
•	تم توجيه خطابنا رقم 3447 وتاريخ 23/4،2025 إلى سعادة وكيل إمارة منطقة الرياض
•	تم توجيه خطاب إلحاقي لرئيس لجنة التعديات بإمارة منطقة الرياض رقم 4279 وتاريخ 19/6/2025
•	محضر معاينة التعديات  من قبل مندوب البلدية ومندوب الزراعة ومندوب المحافظة بالإضافة إلى مندوب الشركة بتاريخ 18/9/2025
•	خطاب وكيل محافظة الخرج الملكف رقم 2844 وتاريخ 6/10/2025 الموجه إلى مدير مكتب وزارة البيئة والمياه والزراعة بمحافظة الخرج 
خطاب وزارة البيئة والمياه والزراعة  رقم 21046896 وتاريخ 21/12/2025 موجه إلى وكيل محافظة الخرج
- تم توجيه خطاب  إلأحاقي إلى رئيس لجنة التعديات بامارة منطقة الرياض لتقديم الدعم اللازم رقم الخطاب 1136 / 2026 وتاريخ 13/4/2026 م 
 محضر معاينة بتاريخ 7/4/2026 م 
م إرسال خطاب لرئيس لجنة التعديات بأمارة الرياض 13-4-2026
--تم ارسال خطاب لرئيس لجنة التعديات بأمارة الرياض 22-6-2026</t>
  </si>
  <si>
    <t>RY32-27  TO  RY31-45</t>
  </si>
  <si>
    <t>مزرعة العيسائي</t>
  </si>
  <si>
    <t>•	تم الوقوف على الطبيعة من قبل فريق العمل بالشركة، بمرافقة الأمن الصناعي، وإعداد محضر تعدٍ بتاريخ 28/08/2024م. 
•	تم توجيه خطاب إلى سعادة رئيس لجنة التعديات بإمارة منطقة الرياض رقم (1774) وتاريخ 17/12/2024م، وذلك بناءً على قرار مجلس الوزراء رقم (487) المتعلق بقواعد مراقبة عقارات الدولة وإزالة التعديات. 
•	رد إلى شركة «سار» خطاب من رئيس بلدية الخرج رقم (4600144949) وتاريخ 30/01/2025م، مرفقًا به خرائط موضح عليها نقاط التعديات. 
•	قامت الشركة بتوجيه خطاب إلحاقي إلى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جارٍ اتخاذها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--تم ارسال خطاب لسمو لمحافظ الخرج 14-7-2026</t>
  </si>
  <si>
    <t>RY33-17-19-21</t>
  </si>
  <si>
    <t xml:space="preserve">مزرعة السيف </t>
  </si>
  <si>
    <t>•	تم الوقوف على الطبيعة من قبل فريق العمل بالشركة، بمرافقة الأمن الصناعي، وإعداد محضر تعدٍ بتاريخ 28/08/2024م. 
•	تم توجيه خطاب إلى سعادة رئيس لجنة التعديات بإمارة منطقة الرياض رقم (1774) وتاريخ 17/12/2024م، وذلك بناءً على قرار مجلس الوزراء رقم (487) المتعلق بقواعد مراقبة عقارات الدولة وإزالة التعديات.  
•	رد إلى شركة «سار» خطاب من رئيس بلدية الخرج رقم (4600144949) وتاريخ 30/01/2025م، مرفقًا به خرائط موضح عليها نقاط التعديات. 
•	قامت الشركة بتوجيه خطاب إلحاقي إلى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جارٍ اتخاذها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--تم ارسال خطاب لسمو محافظ الخرج 14-7-2026</t>
  </si>
  <si>
    <t>RY26-4 TO RY27-4</t>
  </si>
  <si>
    <t>مزرعة السبعان</t>
  </si>
  <si>
    <t>RY23-1 TO RY24-50</t>
  </si>
  <si>
    <t xml:space="preserve">مزرعة الراجحية الأولي </t>
  </si>
  <si>
    <t>RY33-1-3-5-7-9</t>
  </si>
  <si>
    <t>مزرعة الخمعلي</t>
  </si>
  <si>
    <t>•	تم الوقوف على الطبيعة من قبل فريق العمل بالشركة، بمرافقة الأمن الصناعي، وإعداد محضر تعدٍ بتاريخ 28/08/2024م.
•	تم توجيه خطاب إلى سعادة رئيس لجنة التعديات بإمارة منطقة الرياض رقم (1774) وتاريخ 17/12/2024م، وذلك بناءً على قرار مجلس الوزراء رقم (487) المتعلق بقواعد مراقبة عقارات الدولة وإزالة التعديات.
•	رد إلى شركة «سار» خطاب من رئيس بلدية الخرج رقم (4600144949) وتاريخ 30/01/2025م، مرفقًا به خرائط موضح عليها نقاط التعديات.
•	قامت الشركة بتوجيه خطاب إلحاقي إلى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جارٍ اتخاذها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---تم ارسال خطاب لسمو محافظ الخرج 14-7-2026</t>
  </si>
  <si>
    <t>محمد فهيد العرجاني</t>
  </si>
  <si>
    <t>محمد علي</t>
  </si>
  <si>
    <t>•	تم الوقوف على الطبيعة من قبل فريق العمل بالشركة بمرافقة الامن الصناعي واعداد محضر تعدي بتاريخ1/8/2024م
•	الرفع  لوكيل امارة الاحساء لتقديم الدعم اللازم لازالة التعديات بموجب الخطاب رقم 3445/2025 وتاريخ 23/4/2025م
•	الوقوف على الطبيعة بمرافقة اللجنة المشكلة من قبل الامارة بتاريخ 18/2/1447هـ وتم وضع ملصقات على السور  لاستدعاء المتعدي وجاري اتخاذ الاجراءات النظامية من قبل الامارة</t>
  </si>
  <si>
    <t>محسن العرجاني</t>
  </si>
  <si>
    <t>RY65-49-51-53-55-57-59
RY66-1</t>
  </si>
  <si>
    <t>عبدالله محمد المياح</t>
  </si>
  <si>
    <t>•	تم الوقوف على الطبيعة من قبل فريق العمل بالشركة، بمرافقة الأمن الصناعي، وإعداد محضر تعدٍ بتاريخ 28/08/2024م.
•	تم توجيه خطاب إلى سعادة رئيس لجنة التعديات بإمارة منطقة الرياض رقم (1774) وتاريخ 17/12/2024م، وذلك بناءً على قرار مجلس الوزراء رقم (487) المتعلق بقواعد مراقبة عقارات الدولة وإزالة التعديات.
•	رد إلى شركة «سار» خطاب من رئيس بلدية الخرج رقم (4600144949) وتاريخ 30/01/2025م، مرفقًا به خرائط موضح عليها نقاط التعديات.
•	قامت الشركة بتوجيه خطاب إلحاقي إلى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جارٍ اتخاذها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---تم ارسال خطاب لسمو محافظ الخرج 14-7-2026</t>
  </si>
  <si>
    <t xml:space="preserve">RY51 (2-4-6-8-10-12-14-16-18-20-22-24-26-28-30) </t>
  </si>
  <si>
    <t>عبدالله دبيس</t>
  </si>
  <si>
    <t>•	تم الوقوف على الطبيعة من قبل فريق العمل بالشركة، بمرافقة الأمن الصناعي، وإعداد محضر تعدٍّ بتاريخ 27/08/2024.
•	تم توجيه خطاب إلى سعادة رئيس لجنة التعديات بإمارة منطقة الرياض رقم (1774) وتاريخ 17/12/2024م، وذلك استنادًا إلى قرار مجلس الوزراء رقم (487) بشأن قواعد مراقبة عقارات الدولة وإزالة التعديات. 
•	ورد إلى شركة «سار» خطاب من سعادة رئيس بلدية الخرج رقم (4600144949) وتاريخ 30/01/2025م، مرفقًا به خرائط موضحًا عليها نقاط التعديات.  
•	قامت الشركة بمتابعة الموضوع، وتم توجيه خطاب إلى سعادة وكيل إمارة منطقة الرياض برقم (3447/2025) وتاريخ 23/04/2025م، وذلك للتنسيق بشأن إجراء المعاينة الميدانية والوقوف على مواقع التعديات. 
•	قامت الشركة بتوجيه خطاب إلحاقي إلى سعادة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المتعلقة بالتعديات قيد الاستكمال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---تم ارسال خطاب لسمو محافظ الخرج 14-7-2026</t>
  </si>
  <si>
    <t>RY51-30</t>
  </si>
  <si>
    <t>عبدالرحمن آل الشيخ</t>
  </si>
  <si>
    <t>•	تم الوقوف على الطبيعة من قبل فريق العمل بالشركة، بمرافقة الأمن الصناعي، وإعداد محضر تعدٍّ بتاريخ 27/08/2024 . 
•	تم توجيه خطاب إلى سعادة رئيس لجنة التعديات بإمارة منطقة الرياض رقم (1774) وتاريخ 17/12/2024م، وذلك استنادًا إلى قرار مجلس الوزراء رقم (487) بشأن قواعد مراقبة عقارات الدولة وإزالة التعديات.  
•	ورد إلى شركة «سار» خطاب من سعادة رئيس بلدية الخرج رقم (4600144949) وتاريخ 30/01/2025م، مرفقًا به خرائط موضحًا عليها نقاط التعديات. 
•	قامت الشركة بمتابعة الموضوع، وتم توجيه خطاب إلى سعادة وكيل إمارة منطقة الرياض برقم (3447/2025) وتاريخ 23/04/2025م، وذلك للتنسيق بشأن القيام بالمعاينة الميدانية والوقوف على مواقع التعديات.  
•	قامت الشركة بتوجيه خطاب إلحاقي إلى سعادة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حيال التعديات قيد الاستكمال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---تم ارسال خطاب لسمو محافظ الخرج 14-7-2026</t>
  </si>
  <si>
    <t>صالح علي الجلاب</t>
  </si>
  <si>
    <t>RY41-47-49-51-53-55 &amp; RY43-1-3-5-7-9-11</t>
  </si>
  <si>
    <t>صالح الخليوي</t>
  </si>
  <si>
    <t>•	تم الوقوف على الطبيعة من قبل فريق العمل بالشركة، بمرافقة الأمن الصناعي، وإعداد محضر تعدٍّ بتاريخ 27/08/2024.  
•	تم توجيه خطاب إلى سعادة رئيس لجنة التعديات بإمارة منطقة الرياض رقم (1774) وتاريخ 17/12/2024م، وذلك استنادًا إلى قرار مجلس الوزراء رقم (487) بشأن قواعد مراقبة عقارات الدولة وإزالة التعديات. 
•	ورد إلى شركة «سار» خطاب من سعادة رئيس بلدية الخرج رقم (4600144949) وتاريخ 30/01/2025م، مرفقًا به خرائط موضحًا عليها نقاط التعديات.  
•	قامت الشركة بمتابعة الموضوع، وتم توجيه خطاب إلى سعادة وكيل إمارة منطقة الرياض برقم (3447/2025) وتاريخ 23/04/2025م، وذلك للتنسيق بشأن القيام بالمعاينة الميدانية والوقوف على مواقع التعديات. 
•	قامت الشركة بتوجيه خطاب إلحاقي إلى سعادة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حيال التعديات قيد الاستكمال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---تم ارسال خطاب لسمو محافظ الخرج 14-7-2026</t>
  </si>
  <si>
    <t>RY32-60</t>
  </si>
  <si>
    <t>صالح الحارثي</t>
  </si>
  <si>
    <t>•	تم الوقوف على الطبيعة من قبل فريق العمل بالشركة، بمرافقة الأمن الصناعي، وإعداد محضر تعدٍّ بتاريخ 28/08/2024 . 
•	تم توجيه خطاب إلى سعادة رئيس لجنة التعديات بإمارة منطقة الرياض رقم (1774) وتاريخ 17/12/2024م، وذلك استنادًا إلى قرار مجلس الوزراء رقم (487) بشأن قواعد مراقبة عقارات الدولة وإزالة التعديات.   
•	ورد إلى شركة «سار» خطاب من سعادة رئيس بلدية الخرج رقم (4600144949) وتاريخ 30/01/2025م، مرفقًا به خرائط موضحًا عليها نقاط التعديات. 
•	قامت الشركة بمتابعة الموضوع، وتم توجيه خطاب إلى سعادة وكيل إمارة منطقة الرياض برقم (3447/2025) وتاريخ 23/04/2025م، وذلك للتنسيق بشأن القيام بالمعاينة الميدانية والوقوف على مواقع التعديات.  
•	قامت الشركة بتوجيه خطاب إلحاقي إلى سعادة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حيال التعديات قيد الاستكمال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---تم ارسال خطاب لسمو محافظ الخرج 14-7-2026</t>
  </si>
  <si>
    <t>ارض غير مخططة</t>
  </si>
  <si>
    <t>شركة سهام الابداع للتجارة</t>
  </si>
  <si>
    <t>تم إرسال خطاب لرئيس لجنة التعديات بأمارة الرياض 15-7-2026</t>
  </si>
  <si>
    <t>RY6-39&amp;41&amp;43</t>
  </si>
  <si>
    <t>شركة جندلة</t>
  </si>
  <si>
    <t>رقم البلاغ 
4402607620</t>
  </si>
  <si>
    <t>•	قامت الإدارة بتوجيه خطاب إلى الإدارة المالية في شركة «سار» بإيقاف إصدار الفواتير لصالح شركة قناة الإقليمية، وذلك لوجود تعدٍ من قبل شركة الجندلة بتاريخ 08/06/2023م. 
•	تم خروج فريق العمل الميداني بالشركة والتأكد من استغلال الموقع من قبل العميل. 
•	تم توجيه خطاب إلى سعادة رئيس لجنة التعديات بإمارة منطقة الرياض رقم (1774) وتاريخ 17/12/2024م، وذلك بناءً على قرار مجلس الوزراء رقم (487) الخاص بقواعد مراقبة عقارات الدولة وإزالة التعديات.
•	تم خروج فريق العمل الميداني بالشركة ومعاينة الموقع، والتأكد من وجود العميل وعدم تجاوبه، حيث تم إشعاره بضرورة الإخلاء، ووضع ملصقات المراجعة من البلدية، وتقديم بلاغ لدى الشرطة برقم (4402607620). 
•	ورد إلى شركة «سار» خطاب من رئيس بلدية الخرج رقم (4600144949) وتاريخ 30/01/2025م، مرفقًا به خرائط موضح عليها نقاط التعديات. 
•	ورد إلى شركة «سار» إحالة من معالي وزير النقل والخدمات اللوجستية بشأن شكوى مقدمة من وكيل عن شركة قناة الإقليمية بخصوص التعدي من قبل شركة الجندلة، وتم الرد على معاليه بالخطاب رقم (3186/2025) وتاريخ 27/03/2025م.
•	وردت إحالة أخرى من معالي وزير النقل والخدمات اللوجستية تتضمن شكوى جديدة من شركة قناة الإقليمية بخصوص معالجة التعدي من قبل شركة الجندلة، وتم إيضاح الموضوع لمعاليه بموجب الخطاب رقم (3303/2025) وتاريخ 15/04/2025م.
•	قامت الشركة بمتابعة الموضوع، وتم توجيه خطاب إلى سعادة وكيل إمارة منطقة الرياض رقم (3447/2025) وتاريخ 23/04/2025م، وذلك للتنسيق للقيام بالمعاينة الميدانية والوقوف على مواقع التعديات. 
•	تم الخروج مع الأمن الصناعي والبلدية، وتمت مخالفة المتعدي، إلا أن العميل لم يستجب، وتمت إحالة الموضوع عبر البريد الإلكتروني إلى الأمن الصناعي وتحويله للشرطة بتاريخ 23/04/2025م، دون ورود رد حتى تاريخه. 
•	قامت الشركة بتوجيه خطاب إلحاقي إلى رئيس لجنة التعديات بالإمارة رقم (4279/2025) وتاريخ 19/06/2025م، بشأن الموضوع ذاته 
•	تم إحالة الموضوع إلى الإدارة القانونية بتاريخ 13/04/2025م، وتمت عدة استفسارات لاحقة بهذا الخصوص، كان آخرها بتاريخ 14/09/2025م، والمتضمن مخاطبة المتعدي (شركة الجندلة) وطلب سرعة إخلاء الموقع. وعلى إثر ذلك، ورد رد الإدارة القانونية بتاريخ 22/01/2026م، مفاده عدم وجود صفة نظامية تخول الشركة التواصل مع المتعدي، وكذلك عدم توفر أي بيانات رسمية عنه، دون ورود إفادة أخرى لاحقة حتى تاريخه.
      تم توجيه خطاب  إلأحاقي إلى رئيس لجنة التعديات بامارة منطقة الرياض لتقديم الدعم اللازم رقم الخطاب 1136 / 2026 وتاريخ 13/4/2026 م 
تم إرسال خطاب لرئيس لجنة التعديات بأمارة الرياض 13-4-2026
--تم ارسال خطاب لرئيس لجنة التعديات بأمارة الرياض 22-6-2026</t>
  </si>
  <si>
    <t>شركة الأسمنت السعودية بالأحساء</t>
  </si>
  <si>
    <t>•	تم الوقوف على الطبيعة من قبل فريق العمل بالشركة، بمرافقة الأمن الصناعي، وإعداد محضر تعدٍّ بتاريخ 31/07/2024م. 
•	تم توجيه خطاب إلى سعادة رئيس لجنة التعديات بإمارة المنطقة الشرقية رقم (1771) وتاريخ 17/12/2024م، وذلك استنادًا إلى قرار مجلس الوزراء رقم (487) بشأن قواعد مراقبة عقارات الدولة وإزالة التعديات. 
•	وردتنا برقية من سعادة وكيل إمارة المنطقة الشرقية رقم (339057) وتاريخ 04/02/2025م، أفادت بأنه تم إعداد محضر بهذا الخصوص، ويتضمن تزويد محافظة الأحساء بإحداثيات المواقع والصور، مع التأكيد على أن تكون كل معاملة على حدة.    
•	تم توجيه خطاب إلى محافظة الأحساء رقم (3443/2025) وتاريخ 23/04/2025م، تم من خلاله تزويدهم بالطلبات الواردة في المحضر المشكَّل من طرفهم.  
•	تم الوقوف على الطبيعة بمرافقة اللجنة المشكلة من قبل الإمارة بتاريخ 28/05/2025م. 
•	ورد إلى شركة «سار» خطاب من سعادة وكيل محافظة الأحساء رقم (399797) وتاريخ 24/06/2025م، يفيد بأن شركة الإسمنت لديها صك، وعلى إثره قامت المحافظة بإعادة المعاملة إلى شركة «سار» للتنسيق مع شركة الإسمنت.  
•	تم التنسيق مع ممثلي شركة الإسمنت، وعُقد اجتماع عن بُعد بتاريخ 16/10/2025م.
•	تم توجيه خطاب إلى شركة الإسمنت رقم (6397/2025) وتاريخ 18/11/2025م، بشأن طلب الإفادة عن التداخلات القائمة على أراضي شركة «سار». 
•	ورد إلى الشركة خطاب من سعادة وكيل محافظة الأحساء رقم (515515) وتاريخ 23/11/2025م، بشأن الإفادة عن تداخلات الصك. 
•	ورد إلى الشركة خطاب من شركة الإسمنت رقم (2512-137-80) وتاريخ 11/12/2025م، يتضمن إفادة شركة الإسمنت بخصوص تداخلات الصك.
-- تم ارسال خطاب لعقارات الدولة  بخصوص شراء الارض والتداخل -26-4-2026
-- ورد خطاب من عقارات الدولة بعدم وجود مرفقات مع الخطاب  18-12-1447
- تم ارسال خطاب وإعادة ارفاق المرفقات 21-7-2026</t>
  </si>
  <si>
    <t>BQ16-37-39-41</t>
  </si>
  <si>
    <t>سالم احمد السالم</t>
  </si>
  <si>
    <t>RY49-20 TO RY49-44</t>
  </si>
  <si>
    <t>زيد حسن الزيد</t>
  </si>
  <si>
    <t>•	تم الوقوف على الطبيعة من قبل فريق العمل بالشركة، بمرافقة الأمن الصناعي، وإعداد محضر تعدٍّ بتاريخ 27/08/2024.  
•	تم توجيه خطاب إلى سعادة رئيس لجنة التعديات بإمارة منطقة الرياض رقم (1774) وتاريخ 17/12/2024م، وذلك استنادًا إلى قرار مجلس الوزراء رقم (487) بشأن قواعد مراقبة عقارات الدولة وإزالة التعديات. 
•	ورد إلى شركة «سار» خطاب من سعادة رئيس بلدية الخرج رقم (4600144949) وتاريخ 30/01/2025م، مرفقًا به خرائط موضحًا عليها نقاط التعديات.  
•	قامت الشركة بمتابعة الموضوع، وتم توجيه خطاب إلى سعادة وكيل إمارة منطقة الرياض برقم (3447/2025) وتاريخ 23/04/2025م، وذلك للتنسيق بشأن القيام بالمعاينة الميدانية والوقوف على مواقع التعديات. 
•	قامت الشركة بتوجيه خطاب إلحاقي إلى سعادة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حيال التعديات قيد الاستكمال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 ورود دراسة من المتعدي بخصوص النظر في موضوعه</t>
  </si>
  <si>
    <t>حمد المغلوث</t>
  </si>
  <si>
    <t>•	تم الوقوف على الطبيعة من قبل فريق العمل بالشركة بمرافقة الأمن الصناعي، وإعداد محضر تعدٍّ بتاريخ 01/08/2024م. 
•	تم توجيه خطاب إلى سعادة رئيس لجنة التعديات بإمارة المنطقة الشرقية رقم (1771) وتاريخ 17/12/2024، وذلك بناءً على قرار مجلس الوزراء رقم (487) بخصوص قواعد ومراقبة عقارات الدولة وإزالة التعديات.  
•	وردتنا برقية من وكيل إمارة المنطقة الشرقية رقم (339057) وتاريخ 04/02/2025، مفادها أنه تم إعداد محضر بخصوص ذلك، ويتضمن تزويد محافظة الأحساء بإحداثيات المواقع والصور، وأن تكون كل معاملة منفصلة. 
•	تم توجيه خطاب إلى محافظة الأحساء رقم (3445-2025) وتاريخ 23/04/2025، وتم تزويدهم بالطلبات الواردة في المحضر المُشكَّل من طرفهم. 
•	وردنا خطاب من سعادة وكيل محافظة الأحساء رقم (399790) وتاريخ 05/08/2025، يتضمن أنه تم التنسيق مع ممثل شركة سار ولم يتم الرد من طرفه.
•	تم الرد على محافظة الأحساء رقم (5504-2025) وتاريخ 11/09/2025م، بأن ممثل الشركة كان يتمتع بإجازته السنوية.
•	تم الوقوف على الطبيعة بمرافقة اللجنة المشكلة من قبل الإمارة بتاريخ 22/09/2025، وتم وضع ملصقات على السور لاستدعاء المتعدي، وجارٍ اتخاذ الإجراءات النظامية من قبل الإمارة.
•	قامت محافظة الأحساء بتوجيه خطاب إلى سعادة النائب الأول للتطوير العقاري رقم (479126) وتاريخ 30/09/2025، مفاده أن الموقع عائد له بموجب صك شرعي رقم 73080700053
•	قامت شركة سار بتوجيه خطاب إلى الهيئة العامة لعقارات الدولة رقم (6040-2025) وتاريخ 22/10/2025، بشأن طلب الإفادة بخصوص ما ذكره المواطن بأنه يمتلك صكًا. 
•	ورد إلى الشركة إفادة من الهيئة العامة لعقارات الدولة رقم (4710019218) وتاريخ 30/10/2025، تتضمن أن هذه الحالة من الصكوك ليست من اختصاص الهيئة، ويتم التنسيق مع الجهات ذات العلاقة.</t>
  </si>
  <si>
    <t>جابر محمد الجماس المري</t>
  </si>
  <si>
    <t>•	تم الوقوف على الطبيعة من قبل فريق العمل بالشركة بمرافقة الامن الصناعي واعداد محضر تعدي بتاريخ1/8/2024م
•	الرفع  لوكيل امارة الاحساء لتقديم الدعم اللازم لازالة التعديات بموجب الخطاب رقم 3445/2025 وتاريخ 23/4/2025م
•	الوقوف على الطبيعة بمرافقة اللجنة المشكلة من قبل الامارة بتاريخ 18/2/1447ه وتم وضع ملصقات على السور لاستدعاء المتعدي وجاري اتخاذ الاجراءات النظامية من قبل الامارة</t>
  </si>
  <si>
    <t>بنشر الاتحاد لخدمات السيارات</t>
  </si>
  <si>
    <t>•	تم الوقوف على الطبيعة من قبل فريق العمل بالشركة بمرافقة الأمن الصناعي، وإعداد محضر تعدٍّ بتاريخ 01/08/2024م.
•	تم توجيه خطاب إلى سعادة رئيس لجنة التعديات بإمارة المنطقة الشرقية رقم (1771) وتاريخ 17/12/2024، وذلك بناءً على قرار مجلس الوزراء رقم (487) بخصوص قواعد ومراقبة عقارات الدولة وإزالة التعديات.
•	 وردتنا برقية من وكيل إمارة المنطقة الشرقية رقم (339057) وتاريخ 04/02/2025، مفادها أنه تم إعداد محضر بخصوص ذلك، ويتضمن تزويد محافظة الأحساء بإحداثيات المواقع والصور، وأن تكون كل معاملة منفصلة.
•	تم توجيه خطاب إلى محافظة الأحساء رقم (3439-2025) وتاريخ 23/04/2025، وتم تزويدهم بالطلبات الواردة في المحضر المُشكَّل من طرفهم.
•	وردنا خطاب من سعادة وكيل محافظة الأحساء رقم (399803) وتاريخ 05/08/2025، يتضمن أنه تم التنسيق مع ممثل شركة سار ولم يتم الرد من طرفه. 
•	تم الرد على محافظة الأحساء رقم (5500-2025) وتاريخ 11/09/2025م، بأن ممثل الشركة كان يتمتع بإجازته السنوية. 
•	تم الوقوف على الطبيعة بمرافقة اللجنة المشكلة من قبل الإمارة بتاريخ 22/09/2025، وتم وضع ملصقات على السور لاستدعاء المتعدي، وجارٍ اتخاذ الإجراءات النظامية من قبل الإمارة. 
•	قامت محافظة الأحساء بتوجيه خطاب إلى سعادة النائب الأول للتطوير العقاري رقم (477645) وتاريخ 30/09/2025، مفاده أنه لديهم صك إحكام.
•	قامت شركة سار بتوجيه خطاب إلى الهيئة العامة لعقارات الدولة رقم (6039-2025) وتاريخ 22/10/2025، بشأن طلب الإفادة بخصوص صحة صك الإحكام.
-ورد  خطاب الهيئة العامة لعقارات الدولة رقم (4710019075) وتاريخ 21/9/1447ه</t>
  </si>
  <si>
    <t>الشركة العربية للدعاية والإعلان لوحات إعلانية</t>
  </si>
  <si>
    <t xml:space="preserve">لايوجد اجراء </t>
  </si>
  <si>
    <t>RY64</t>
  </si>
  <si>
    <t>الشركة السعودية للكهرباء</t>
  </si>
  <si>
    <t>•	تم الوقوف على الطبيعة من قبل فريق العمل بالشركة، بمرافقة الأمن الصناعي، وإعداد محضر تعدٍ بتاريخ 27/08/2024م.
•	تم توجيه خطاب إلى سعادة رئيس لجنة التعديات بإمارة منطقة الرياض رقم (1774) وتاريخ 17/12/2024م، وذلك بناءً على قرار مجلس الوزراء رقم (487) المتعلق بقواعد مراقبة عقارات الدولة وإزالة التعديات.
•	ورد إلى شركة «سار» خطاب من رئيس بلدية الخرج رقم (4600144949) وتاريخ 30/01/2025م، مرفقًا به خرائط موضح عليها نقاط التعديات.
•	قامت الشركة بمتابعة الموضوع، وتم توجيه خطاب إلى سعادة وكيل إمارة منطقة الرياض رقم (3447/2025) وتاريخ 23/04/2025م، وذلك للتنسيق للقيام بالمعاينة الميدانية والوقوف على مواقع التعديات.
•	قامت الشركة بتوجيه خطاب إلحاقي إلى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جارٍ اتخاذها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 تم ارسال خطاب لمدير الشركة في الخرج - 21-7-2026</t>
  </si>
  <si>
    <t>RY27-30-34-36-38-40-42-44-46-48-50-52-54&amp;RY28-2-4</t>
  </si>
  <si>
    <t>الأمير عبدالله بن سلطان</t>
  </si>
  <si>
    <t>•	تم توجيه خطاب إلى سعادة رئيس لجنة التعديات بإمارة منطقة الرياض رقم (1774) وتاريخ 17/12/2024م، وذلك بناءً على قرار مجلس الوزراء رقم (487) الخاص بقواعد مراقبة عقارات الدولة وإزالة التعديات.
•	وردنا خطاب رئيس بلدية محافظة الخرج رقم داخلي 5913 وتاريخ 11/2/2025
•	تم توجيه خطابنا رقم 3447 وتاريخ 23/4،2025 إلى سعادة وكيل إمارة منطقة الرياض
•	تم توجيه خطاب إلحاقي لرئيس لجنة التعديات بإمارة منطقة الرياض رقم 4279 وتاريخ 19/6/2025
•	محضر معاينة التعديات  من قبل مندوب البلدية ومندوب الزراعة ومندوب المحافظة بالإضافة إلى مندوب الشركة بتاريخ 18/9/2025
•	خطاب وكيل محافظة الخرج الملكف رقم 2844 وتاريخ 6/10/2025 الموجه إلى مدير مكتب وزارة البيئة والمياه والزراعة بمحافظة الخرج 
خطاب وزارة البيئة والمياه والزراعة  رقم 21046896 وتاريخ 21/12/2025 موجه إلى وكيل محافظة الخرج
تم توجيه خطاب  إلأحاقي إلى رئيس لجنة التعديات بامارة منطقة الرياض لتقديم الدعم اللازم رقم الخطاب 1136 / 2026 وتاريخ 13/4/2026 م 
- محضر معاينة بتاريخ 7/4/2026 م 
تم إرسال خطاب لرئيس لجنة التعديات بأمارة الرياض 13-4-2026
--تم ارسال خطاب لرئيس لجنة التعديات بأمارة الرياض 22-6-2026</t>
  </si>
  <si>
    <t>RY32-58</t>
  </si>
  <si>
    <t xml:space="preserve">استراحات ساتروني </t>
  </si>
  <si>
    <t>•	تم الوقوف على الطبيعة من قبل فريق العمل بالشركة، بمرافقة الأمن الصناعي، وإعداد محضر تعدٍّ بتاريخ 28/08/2024. 
•	تم توجيه خطاب إلى سعادة رئيس لجنة التعديات بإمارة منطقة الرياض رقم (1774) وتاريخ 17/12/2024م، وذلك استنادًا إلى قرار مجلس الوزراء رقم (487) بشأن قواعد مراقبة عقارات الدولة وإزالة التعديات. 
•	ورد إلى شركة «سار» خطاب من سعادة رئيس بلدية الخرج رقم (4600144949) وتاريخ 30/01/2025م، مرفقًا به خرائط موضحًا عليها نقاط التعديات.  
•	قامت الشركة بمتابعة الموضوع، وتم توجيه خطاب إلى سعادة وكيل إمارة منطقة الرياض برقم (3447/2025) وتاريخ 23/04/2025م، وذلك للتنسيق بشأن القيام بالمعاينة الميدانية والوقوف على مواقع التعديات. 
•	قامت الشركة بتوجيه خطاب إلحاقي إلى سعادة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حيال التعديات قيد الاستكمال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---تم ارسال خطاب لسمو محافظ الخرج 14-7-2026</t>
  </si>
  <si>
    <t xml:space="preserve">RY27 (14-16-18-20-22-24-26-28) </t>
  </si>
  <si>
    <t xml:space="preserve"> مرزعة القرشي</t>
  </si>
  <si>
    <t>•	تم توجيه خطاب إلى سعادة رئيس لجنة التعديات بإمارة منطقة الرياض رقم (1774) وتاريخ 17/12/2024م، وذلك بناءً على قرار مجلس الوزراء رقم (487) الخاص بقواعد مراقبة عقارات الدولة وإزالة التعديات.
•	وردنا خطاب رئيس بلدية محافظة الخرج رقم داخلي 5913 وتاريخ 11/2/2025
•	تم توجيه خطابنا رقم 3447 وتاريخ 23/4،2025 إلى سعادة وكيل إمارة منطقة الرياض
•	تم توجيه خطاب إلحاقي لرئيس لجنة التعديات بإمارة منطقة الرياض رقم 4279 وتاريخ 19/6/2025
•	محضر معاينة التعديات  من قبل مندوب البلدية ومندوب الزراعة ومندوب المحافظة بالإضافة إلى مندوب الشركة بتاريخ 18/9/2025
•	خطاب وكيل محافظة الخرج الملكف رقم 2844 وتاريخ 6/10/2025 الموجه إلى مدير مكتب وزارة البيئة والمياه والزراعة بمحافظة الخرج 
خطاب وزارة البيئة والمياه والزراعة  رقم 21046896 وتاريخ 21/12/2025 موجه إلى وكيل محافظة الخرج
تم توجيه خطاب  إلأحاقي إلى رئيس لجنة التعديات بامارة منطقة الرياض لتقديم الدعم اللازم رقم الخطاب 1136 / 2026 وتاريخ 13/4/2026 م 
 محضر معاينة بتاريخ 7/4/2026 م 
تم إرسال خطاب لرئيس لجنة التعديات بأمارة الرياض 13-4-2026
--تم ارسال خطاب لرئيس لجنة التعديات بأمارة الرياض 22-6-2026</t>
  </si>
  <si>
    <t>RY50-10-12-14-16-18</t>
  </si>
  <si>
    <t xml:space="preserve"> مبارك الدوسري</t>
  </si>
  <si>
    <t>•	م الوقوف على الطبيعة من قبل فريق العمل بالشركة، بمرافقة الأمن الصناعي، وإعداد محضر تعدٍ بتاريخ 27/08/2024م. 
•	تم توجيه خطاب إلى سعادة رئيس لجنة التعديات بإمارة منطقة الرياض رقم (1774) وتاريخ 17/12/2024م، وذلك بناءً على قرار مجلس الوزراء رقم (487) المتعلق بقواعد مراقبة عقارات الدولة وإزالة التعديات. 
•	ورد إلى شركة «سار» خطاب من رئيس بلدية الخرج رقم (4600144949) وتاريخ 30/01/2025م، مرفقًا به خرائط موضح عليها نقاط التعديات.   
•	قامت الشركة بمتابعة الموضوع، وتم توجيه خطاب إلى سعادة وكيل إمارة منطقة الرياض رقم (3447/2025) وتاريخ 23/04/2025م، وذلك للتنسيق للقيام بالمعاينة الميدانية والوقوف على مواقع التعديات.  
•	قامت الشركة بتوجيه خطاب إلحاقي إلى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جارٍ اتخاذها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t>
  </si>
  <si>
    <t xml:space="preserve">RY29-30-31-32-33-34-35-36&amp;RY31-12
</t>
  </si>
  <si>
    <t xml:space="preserve"> على حمد العمري</t>
  </si>
  <si>
    <t>•	تم الوقوف على الطبيعة من قبل فريق العمل بالشركة، بمرافقة الأمن الصناعي، وإعداد محضر تعدٍ بتاريخ 28/08/2024م. 2 
•	تم توجيه خطاب إلى سعادة رئيس لجنة التعديات بإمارة منطقة الرياض رقم (1774) وتاريخ 17/12/2024م، وذلك بناءً على قرار مجلس الوزراء رقم (487) المتعلق بقواعد مراقبة عقارات الدولة وإزالة التعديات. 
•	رد إلى شركة «سار» خطاب من رئيس بلدية الخرج رقم (4600144949) وتاريخ 30/01/2025م، مرفقًا به خرائط موضح عليها نقاط التعديات. 
•	قامت الشركة بتوجيه خطاب إلحاقي إلى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جارٍ اتخاذها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---تم ارسال خطاب لسمو محافظ الخرج 14-7-2026</t>
  </si>
  <si>
    <t>محضر معاينة</t>
  </si>
  <si>
    <t>نعم</t>
  </si>
  <si>
    <t>تم ارسال خطاب 2026</t>
  </si>
  <si>
    <t>•	تم الوقوف على الطبيعة من قبل فريق العمل بالشركة، بمرافقة الأمن الصناعي، وإعداد محضر تعدٍّ بتاريخ 31/07/2024م. 
•	تم توجيه خطاب إلى سعادة رئيس لجنة التعديات بإمارة المنطقة الشرقية رقم (1771) وتاريخ 17/12/2024م، وذلك استنادًا إلى قرار مجلس الوزراء رقم (487) بشأن قواعد مراقبة عقارات الدولة وإزالة التعديات. 
•	وردتنا برقية من سعادة وكيل إمارة المنطقة الشرقية رقم (339057) وتاريخ 04/02/2025م، أفادت بأنه تم إعداد محضر بخصوص ذلك، ويتضمن تزويد محافظة الأحساء بإحداثيات المواقع والصور، مع التأكيد على أن تكون كل معاملة منفصلة. 
•	تم توجيه خطاب إلى محافظة الأحساء رقم (3444/2025) وتاريخ 23/04/2025م، جرى من خلاله تزويدهم بالطلبات الواردة في المحضر المشكَّل من طرفهم. 
•	قامت محافظة الأحساء بتوجيه خطاب إلى الهيئة العامة لعقارات الدولة رقم (399786) وتاريخ 25/06/2025م، بشأن الإفادة عن الطلب المقدم في منصة إحكام. 
•	تم الوقوف على الطبيعة بمرافقة اللجنة المشكلة من قبل الإمارة بتاريخ 22/09/2025م.
•	وبناءً على خطاب محافظة الأحساء الموجه إلى الهيئة العامة لعقارات الدولة، قامت الشركة بمتابعة الموضوع، وتم توجيه خطاب إلى الهيئة برقم (5859/2025) وتاريخ 09/10/2025م. 
•	ورد إلى الشركة رد من الهيئة العامة لعقارات الدولة رقم (4710000975) وتاريخ 11/11/2025م، يتضمن عدم تملك الطلب، وأن نوع الطلب هو تملك جديد. 
•	ورد إلى الشركة خطاب من محافظة الأحساء رقم (506364) وتاريخ 11/11/2025م، يتضمن الإفادة بأن الهيئة قد ردّت على الطلب، وطلب استكمال تعبئة النموذج المعد لذلك بكل دقة.
- تم إعداد تقرير الإزالة 
- تم توجيه خطاب لسعادة وكيل محافظة الأحساء  للبدء بالإزالة رقم الخطاب 2026 /1120 وتاريخ 12/4/2026 م 
--ارسال خطاب إلحاقي وإخلاء مسئولية الشركة  - 27-7-2026
-ارسال خطاب لسعادة وكيل الاحساء بخصوص تعبئة تقرير الإزالة رقم 2026/2815 وتاريخ 3/9/2026</t>
  </si>
  <si>
    <t>•	خروج فريق العمل الميداني بالشركة ومعاينة الموقع والتاكد من وجود التعدي.  
•	خروج فريق العمل الميداني بالشركة ومعاينة الموقع والتاكد من وجود التعدي  .
•	تم ارسال خطاب رقم 6347/2025 بتاريخ 11/11/2025 خطاب اخلاء ومراجعة ادارة التطوير العقاري بالشركة.
•	 تم ارسال خطاب رقم 6287/2025 بتاريخ10/11/2025 الى لجنة التعاديات بأمارة المنطقة الشرقية بشأن إزالة التعدي 
- تم ارسال المستخرج التجاري إلى القانونية</t>
  </si>
  <si>
    <t>•	خروج فريق العمل الميداني بالشركة ومعاينة الموقع والتاكد من وجود التعدي.
•	  تم معاينة الموقع من قبل فريق سار بتاريخ 28/07/2024 .
•	تم ارسال خطاب رقم 6349/2025 بتاريخ 11/11/2025 خطاب اخلاء ومراجعة ادارة التطوير العقاري بالشركة.
•	 تم ارسال خطاب رقم 6291/2025 بتاريخ10/11/2025 الى لجنة التعاديات بأمارة المنطقة الشرقية بشأن إزالة التعدي .
- تحت إجراءات التسجيل كواقعة ايجارية
- تم استخراج مستخرج تجاري ومن ثم تحويله للقانونية</t>
  </si>
  <si>
    <t xml:space="preserve">•	تم الوقوف على الطبيعة من قبل فريق العمل بالشركة بمرافقة الامن الصناعي واعداد محضر تعدي بتاريخ1/8/2024م
•	الرفع  لوكيل امارة الاحساء لتقديم الدعم اللازم لازالة التعديات بموجب الخطاب رقم 3445/2025 وتاريخ 23/4/2025م
•	الوقوف على الطبيعة بمرافقة اللجنة المشكلة من قبل الامارة بتاريخ 18/2/1447ه وتم وضع ملصقات على السور  لاستدعاء المتعدي وجاري اتخاذ الاجراءات النظامية من قبل الامارة 
•	تم الوقوف من قبل اللجنة المشكلة من امارة الاحساء بتاريخ 31/12/2025م وطلبت من الشركة اعداد تقرير للازالة
-   تم إعداد تقرير الإزالة 
- توجيه خطاب لسعادة وكيل محافظة الأحساء لأزالة التعدي  رقم الخطاب 2026 / 1118 وتاريخ 12/4/2026م 
-- توجيه خطاب لسعادة وكيل محافظة الأحساء لأزالة التعدي  رقم الخطاب 2026 / 2776 وتاريخ 27/8/2026م </t>
  </si>
  <si>
    <t xml:space="preserve">•	تم الوقوف على الطبيعة من قبل فريق العمل بالشركة بمرافقة الامن الصناعي واعداد محضر تعدي بتاريخ1/8/2024م
•	الرفع  لوكيل امارة الاحساء لتقديم الدعم اللازم لازالة التعديات بموجب الخطاب رقم 3445/2025 وتاريخ 23/4/2025م
•	الوقوف على الطبيعة بمرافقة اللجنة المشكلة من قبل الامارة بتاريخ 18/2/1447هـ وتم وضع ملصقات على السور  لاستدعاء المتعدي 
•	وردنا خطاب وكيل الامارة رقم 439047وتاريخ 2/4/1447هـ مفادة بأنة راجع الامارة الوكيل الشرعي  وافاد بأن بأن الموقع يخص والدته ولديها طلب بمنصة احكام برقم (1588932) 
•	تم الوقوف من قبل اللجنة المشكلة من امارة الاحساء بتاريخ 31/12/2025م وطلبت من الشركة اعداد تقرير للازالة
- تم إعداد تقرير الإزالة 
- تم توجيه خطاب إلى سعادة وكيل محافظة الأحساء للبدء بالإزلة  رقم الخطاب 2026/1121 وتاريخ 12/4/2026 م
-- توجيه خطاب لسعادة وكيل محافظة الأحساء لأزالة التعدي  رقم الخطاب 2026 / 2777 وتاريخ 27/8/2026م </t>
  </si>
  <si>
    <t xml:space="preserve">•	تم الوقوف على الطبيعة من قبل فريق العمل بالشركة بمرافقة الامن الصناعي واعداد محضر تعدي بتاريخ1/8/2024م
•	الرفع  لوكيل امارة الاحساء لتقديم الدعم اللازم لازالته التعديات بموجب الخطاب رقم 3445/2025 وتاريخ 23/4/2025م
•	الوقوف على الطبيعة بمرافقة اللجنة المشكلة من قبل الامارة بتاريخ 18/2/1447هـ وتم وضع ملصقات على السور  لاستدعاء المتعدي وجاري اتخاذ الاجراءات النظامية من قبل الامارة
•	تم احالة المعاملة الى امانة الاحساء برقم (47015762) وتاريخ 7/10/2025 ثم احيلت الى بلدية يبرين بتاريخ 26/10/2025 احيلت المعاملة الى وكيل امارة الاحساء من قبل الامانة بتاريخ 22/12/2025
- تم إعداد تقرير الإزالة 
-  تم توجيه خطاب لسعادة وكيل محافظة الأحساء للبدء بالإزالة رقم الخطاب 2026/1119  وتاريخ 12/4/2026 م 
-- توجيه خطاب لسعادة وكيل محافظة الأحساء لأزالة التعدي  رقم الخطاب 2026 / 2778 وتاريخ 27/8/2026م 
</t>
  </si>
  <si>
    <t>•	تم الوقوف على الطبيعة من قبل فريق العمل بالشركة بمرافقة الأمن الصناعي، وإعداد محضر تعدٍّ بتاريخ 01/08/2024م. 
•	تم توجيه خطاب إلى سعادة رئيس لجنة التعديات بإمارة المنطقة الشرقية رقم (1771) وتاريخ 17/12/2024، وذلك بناءً على قرار مجلس الوزراء رقم (487) بخصوص قواعد ومراقبة عقارات الدولة وإزالة التعديات.  
•	وردتنا برقية من وكيل إمارة المنطقة الشرقية رقم (339057) وتاريخ 04/02/2025، مفادها أنه تم إعداد محضر بخصوص ذلك، ويتضمن تزويد محافظة الأحساء بإحداثيات المواقع والصور، وأن تكون كل معاملة منفصلة. 
•	تم توجيه خطاب إلى محافظة الأحساء رقم (3445-2025) وتاريخ 23/04/2025، وتم تزويدهم بالطلبات الواردة في المحضر المُشكَّل من طرفهم. 
•	وردنا خطاب من سعادة وكيل محافظة الأحساء رقم (399790) وتاريخ 05/08/2025، يتضمن أنه تم التنسيق مع ممثل شركة سار ولم يتم الرد من طرفه.
•	تم الرد على محافظة الأحساء رقم (5504-2025) وتاريخ 11/09/2025م، بأن ممثل الشركة كان يتمتع بإجازته السنوية.
•	تم الوقوف على الطبيعة بمرافقة اللجنة المشكلة من قبل الإمارة بتاريخ 22/09/2025، وتم وضع ملصقات على السور لاستدعاء المتعدي، وجارٍ اتخاذ الإجراءات النظامية من قبل الإمارة.
•	قامت محافظة الأحساء بتوجيه خطاب إلى سعادة النائب الأول للتطوير العقاري رقم (479126) وتاريخ 30/09/2025، مفاده أن الموقع عائد له بموجب صك شرعي رقم 73080700053
•	قامت شركة سار بتوجيه خطاب إلى الهيئة العامة لعقارات الدولة رقم (6040-2025) وتاريخ 22/10/2025، بشأن طلب الإفادة بخصوص ما ذكره المواطن بأنه يمتلك صكًا. 
•	ورد إلى الشركة إفادة من الهيئة العامة لعقارات الدولة رقم (4710019218) وتاريخ 30/10/2025، تتضمن أن هذه الحالة من الصكوك ليست من اختصاص الهيئة، ويتم التنسيق مع الجهات ذات العلاقة.
- تم ارسال خطاب الى رئيس كتابة العدل بمحافظة الاحساء رقم 2026/2841 وتاريخ 6-9-2026م</t>
  </si>
  <si>
    <t>30526702010</t>
  </si>
  <si>
    <t>مستخرج تجاري</t>
  </si>
  <si>
    <t>30890330740</t>
  </si>
  <si>
    <t xml:space="preserve">تداخل ملكيات </t>
  </si>
  <si>
    <t>منصة لإحكام</t>
  </si>
  <si>
    <t>بدون مسوغات شرعية</t>
  </si>
  <si>
    <t xml:space="preserve">المدينة : </t>
  </si>
  <si>
    <t>لدى القانونية قبل لجنة التعديات</t>
  </si>
  <si>
    <t>ملاحظات</t>
  </si>
  <si>
    <t>مستخرج تجاري ولم يتم الإفادة بالإجراء التالي</t>
  </si>
  <si>
    <t>قضية منظورة</t>
  </si>
  <si>
    <t>حكم نهائي</t>
  </si>
  <si>
    <t>30149070805- واقعة إيجارية</t>
  </si>
  <si>
    <t>30250426565 - واقعة إيجارية</t>
  </si>
  <si>
    <t>30416345223 - واقعة إيجارية</t>
  </si>
  <si>
    <t>30452578798 - واقعة إيجارية</t>
  </si>
  <si>
    <t>30526702010 - واقعة إيجارية</t>
  </si>
  <si>
    <t>30529968560 - واقعة إيجارية</t>
  </si>
  <si>
    <t>30672130428 - واقعة إيجارية</t>
  </si>
  <si>
    <t>30206262083</t>
  </si>
  <si>
    <t>الإجراءات المطلوب تنفيذها  22-9-2026</t>
  </si>
  <si>
    <t xml:space="preserve">زيارة +معاينة الحالة + الحاقي للإدارة القانونية </t>
  </si>
  <si>
    <t xml:space="preserve">النيابة / التقديم على مستخدم الموقع ، وليس مساعد العنقري </t>
  </si>
  <si>
    <t xml:space="preserve">انتظار رد الامارة </t>
  </si>
  <si>
    <t xml:space="preserve">بانتظار الامارة </t>
  </si>
  <si>
    <t xml:space="preserve">مرسل تقرير ازالة  </t>
  </si>
  <si>
    <t xml:space="preserve">تقرير ازالة  عند ابو حمد </t>
  </si>
  <si>
    <t xml:space="preserve">بانتظار حيثيات الواقعة الايجارية   </t>
  </si>
  <si>
    <t xml:space="preserve">خطاب إلحاقي </t>
  </si>
  <si>
    <t xml:space="preserve">تقديم بلاغ للنيابة  </t>
  </si>
  <si>
    <t xml:space="preserve">تقديم بلاغ للنيابة </t>
  </si>
  <si>
    <t>تقديم بلاغ للنيابة</t>
  </si>
  <si>
    <t>توجيه خطاب لهيئة عقارات الدولة</t>
  </si>
  <si>
    <t>خطاب موجه للأوقاف بالأحساء</t>
  </si>
  <si>
    <t xml:space="preserve">انتظار الامارة </t>
  </si>
  <si>
    <t>إلحاقي للهيئة</t>
  </si>
  <si>
    <t>إلحاقي لأمين الاحساء</t>
  </si>
  <si>
    <t>30686935212</t>
  </si>
  <si>
    <t>30934764079</t>
  </si>
  <si>
    <t>محسن منير عماش الحربي</t>
  </si>
  <si>
    <t>حالة الفضية</t>
  </si>
  <si>
    <t>حكم ابتدائي</t>
  </si>
  <si>
    <t>أين المعاملة</t>
  </si>
  <si>
    <t>القانونية</t>
  </si>
  <si>
    <t>نفوذ</t>
  </si>
  <si>
    <t>القانونية قبل الجنة</t>
  </si>
  <si>
    <t>التطوير العقاري</t>
  </si>
  <si>
    <t>تحت إجراءات الإستلام</t>
  </si>
  <si>
    <r>
      <t xml:space="preserve">•	خروج فريق العمل الميداني بالشركة ومعاينة الموقع والتاكد من وجود التعدي. 
•	 تم معاينة الموقع من قبل فريق سار بتاريخ 01/08/2024 .
•	تم ارسال خطاب رقم 6334/2025 بتاريخ 11/11/2025 خطاب اخلاء ومراجعة ادارة التطوير العقاري بالشركة.
•	 تم ارسال خطاب رقم 6922/2025 25/12/2025 الى سعادة وكيل محافظة الأحساء بشأن إزالة التعدي .
</t>
    </r>
    <r>
      <rPr>
        <sz val="9"/>
        <color rgb="FFFF0000"/>
        <rFont val="Sakkal Majalla"/>
      </rPr>
      <t>تم رفع  واقعة ايجارية عن طريق منصة ايجار 
- صدر حكم نهائي بالاخلاء بتاريخ 27-9-2026 
- تم استلام الارض بتاريخ 27-9-2026</t>
    </r>
  </si>
  <si>
    <t>رقم الدعوى القضائية</t>
  </si>
  <si>
    <t>رقم صك الدعوى</t>
  </si>
  <si>
    <t>تاريخ صك الدعوى</t>
  </si>
  <si>
    <t>لم يتم تزويدنا بنسخة من الحكم</t>
  </si>
  <si>
    <t>4830270309</t>
  </si>
  <si>
    <t>11/3/1448</t>
  </si>
  <si>
    <t>4772942623</t>
  </si>
  <si>
    <t>4772903498</t>
  </si>
  <si>
    <t>14/02/1448</t>
  </si>
  <si>
    <t>4830164554</t>
  </si>
  <si>
    <t>4830291458</t>
  </si>
  <si>
    <t>13/03/1448</t>
  </si>
  <si>
    <t>4772897027</t>
  </si>
  <si>
    <t>4772904200</t>
  </si>
  <si>
    <t>4830111748</t>
  </si>
  <si>
    <t>29/01/1448</t>
  </si>
  <si>
    <t>4772932810</t>
  </si>
  <si>
    <t>4732264832</t>
  </si>
  <si>
    <t>23/12/1447</t>
  </si>
  <si>
    <t>11/03/1448</t>
  </si>
  <si>
    <t>4772896750</t>
  </si>
  <si>
    <t>4830119644</t>
  </si>
  <si>
    <t>02/02/1448</t>
  </si>
  <si>
    <t>تعديات تتطلّب إبداء الرأي القانوني بشأن حالة التعدّي قبل رفع الواقعة الإيجارية.</t>
  </si>
  <si>
    <t>تعديات تم إحالتها إلى الإدارة القانونية للنظر فيها قبل   لجنة التعديات.</t>
  </si>
  <si>
    <t>تعديات صدر بشأنها أحكام نهائية، إلا أنه لم يتم تزويدنا حتى تاريخه بنسخة من صك الدعوى.</t>
  </si>
  <si>
    <t>مؤسسة الحاسوم التجارية</t>
  </si>
  <si>
    <t>•	تم الوقوف على الطبيعة من قبل فريق العمل بالشركة، بمرافقة الأمن الصناعي، وإعداد محضر تعدٍّ بتاريخ 27/08/2024.  
•	تم توجيه خطاب إلى سعادة رئيس لجنة التعديات بإمارة منطقة الرياض رقم (1774) وتاريخ 17/12/2024م، وذلك استنادًا إلى قرار مجلس الوزراء رقم (487) بشأن قواعد مراقبة عقارات الدولة وإزالة التعديات. 
•	ورد إلى شركة «سار» خطاب من سعادة رئيس بلدية الخرج رقم (4600144949) وتاريخ 30/01/2025م، مرفقًا به خرائط موضحًا عليها نقاط التعديات.  
•	قامت الشركة بمتابعة الموضوع، وتم توجيه خطاب إلى سعادة وكيل إمارة منطقة الرياض برقم (3447/2025) وتاريخ 23/04/2025م، وذلك للتنسيق بشأن القيام بالمعاينة الميدانية والوقوف على مواقع التعديات. 
•	قامت الشركة بتوجيه خطاب إلحاقي إلى سعادة رئيس لجنة التعديات بالإمارة رقم (4279/2025) وتاريخ 19/06/2025م، بشأن الموضوع ذاته.  
•	تم الوقوف على الطبيعة بمرافقة اللجنة المشكلة من قبل الإمارة بتاريخ 17/09/2025م، ولا تزال الإجراءات النظامية حيال التعديات قيد الاستكمال من قبل الإمارة. 
•	وردتنا نسخة من الخطاب الموجّه إلى سعادة مدير مكتب وزارة البيئة والمياه والزراعة بمحافظة الخرج رقم (2844) وتاريخ 17/10/2025م، والمتضمن طلب وكيل محافظة الخرج الرجوع إلى السجلات الزراعية.
-- ورود دراسة من المتعدي بخصوص النظر في موضوعه
-تم توجيه خطاب لزيد الحسين بتاريخ 30-09-2026
- تم رفع واقعة ايجارية على المتعدي برقم 30923857446 وتاريخ 10-10-2026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</si>
</sst>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rial"/>
      <family val="2"/>
      <scheme val="minor"/>
    </font>
    <font>
      <b/>
      <sz val="11"/>
      <color theme="1"/>
      <name val="Arial"/>
      <family val="2"/>
      <scheme val="minor"/>
    </font>
    <font>
      <sz val="9"/>
      <name val="Arial"/>
      <family val="2"/>
      <scheme val="minor"/>
    </font>
    <font>
      <sz val="9"/>
      <name val="Sakkal Majalla"/>
    </font>
    <font>
      <sz val="9"/>
      <name val="Arial"/>
      <family val="2"/>
    </font>
    <font>
      <sz val="9"/>
      <color rgb="FFFF0000"/>
      <name val="Sakkal Majalla"/>
    </font>
    <font>
      <b/>
      <sz val="9"/>
      <name val="Sakkal Majalla"/>
    </font>
    <font>
      <b/>
      <sz val="12"/>
      <color theme="0"/>
      <name val="Arial"/>
      <family val="2"/>
    </font>
    <font>
      <b/>
      <sz val="12"/>
      <color theme="0"/>
      <name val="Sakkal Majalla"/>
    </font>
    <font>
      <b/>
      <sz val="14"/>
      <name val="Sakkal Majalla"/>
    </font>
    <font>
      <sz val="9"/>
      <color theme="1"/>
      <name val="Arial"/>
      <family val="2"/>
      <scheme val="minor"/>
    </font>
    <font>
      <sz val="9"/>
      <color theme="1"/>
      <name val="Arial"/>
      <family val="2"/>
    </font>
    <font>
      <sz val="18"/>
      <color theme="1"/>
      <name val="Arial"/>
      <family val="2"/>
      <scheme val="minor"/>
    </font>
    <font>
      <sz val="12"/>
      <color theme="0"/>
      <name val="Arial"/>
      <family val="2"/>
      <scheme val="minor"/>
    </font>
    <font>
      <b/>
      <sz val="18"/>
      <color theme="1"/>
      <name val="Arial"/>
      <family val="2"/>
      <scheme val="minor"/>
    </font>
    <font>
      <sz val="9"/>
      <color indexed="81"/>
      <name val="Tahoma"/>
    </font>
  </fonts>
  <fills count="8">
    <fill>
      <patternFill patternType="none"/>
    </fill>
    <fill>
      <patternFill patternType="gray125"/>
    </fill>
    <fill>
      <patternFill patternType="solid">
        <fgColor theme="0"/>
        <bgColor theme="1"/>
      </patternFill>
    </fill>
    <fill>
      <patternFill patternType="solid">
        <fgColor theme="0"/>
        <bgColor indexed="64"/>
      </patternFill>
    </fill>
    <fill>
      <patternFill patternType="solid">
        <fgColor theme="0"/>
        <bgColor theme="0" tint="-0.14999847407452621"/>
      </patternFill>
    </fill>
    <fill>
      <patternFill patternType="solid">
        <fgColor theme="1"/>
        <bgColor theme="1"/>
      </patternFill>
    </fill>
    <fill>
      <patternFill patternType="solid">
        <fgColor rgb="FFD9D9D9"/>
        <bgColor rgb="FFD9D9D9"/>
      </patternFill>
    </fill>
    <fill>
      <patternFill patternType="solid">
        <fgColor theme="0" tint="-0.14999847407452621"/>
        <bgColor theme="0" tint="-0.14999847407452621"/>
      </patternFill>
    </fill>
  </fills>
  <borders count="30">
    <border>
      <left/>
      <right/>
      <top/>
      <bottom/>
      <diagonal/>
    </border>
    <border>
      <left style="thin">
        <color indexed="64"/>
      </left>
      <right/>
      <top style="medium">
        <color indexed="64"/>
      </top>
      <bottom style="thin">
        <color theme="1"/>
      </bottom>
      <diagonal/>
    </border>
    <border>
      <left/>
      <right/>
      <top style="thin">
        <color theme="1"/>
      </top>
      <bottom style="thin">
        <color theme="1"/>
      </bottom>
      <diagonal/>
    </border>
    <border>
      <left style="thin">
        <color indexed="64"/>
      </left>
      <right style="thin">
        <color theme="1"/>
      </right>
      <top style="medium">
        <color indexed="64"/>
      </top>
      <bottom style="thin">
        <color them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1"/>
      </bottom>
      <diagonal/>
    </border>
    <border>
      <left/>
      <right/>
      <top style="medium">
        <color indexed="64"/>
      </top>
      <bottom style="thin">
        <color theme="1"/>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theme="1"/>
      </bottom>
      <diagonal/>
    </border>
    <border>
      <left style="thin">
        <color indexed="64"/>
      </left>
      <right/>
      <top style="thin">
        <color indexed="64"/>
      </top>
      <bottom style="thin">
        <color indexed="64"/>
      </bottom>
      <diagonal/>
    </border>
    <border>
      <left style="thin">
        <color indexed="64"/>
      </left>
      <right/>
      <top style="thin">
        <color indexed="64"/>
      </top>
      <bottom style="thin">
        <color theme="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thin">
        <color theme="1"/>
      </bottom>
      <diagonal/>
    </border>
    <border>
      <left/>
      <right/>
      <top/>
      <bottom style="medium">
        <color indexed="64"/>
      </bottom>
      <diagonal/>
    </border>
    <border>
      <left style="thin">
        <color indexed="64"/>
      </left>
      <right style="thin">
        <color indexed="64"/>
      </right>
      <top style="double">
        <color theme="1"/>
      </top>
      <bottom/>
      <diagonal/>
    </border>
    <border>
      <left/>
      <right style="thin">
        <color theme="1"/>
      </right>
      <top style="thin">
        <color theme="1"/>
      </top>
      <bottom style="thin">
        <color theme="1"/>
      </bottom>
      <diagonal/>
    </border>
    <border>
      <left/>
      <right/>
      <top/>
      <bottom style="thin">
        <color theme="1"/>
      </bottom>
      <diagonal/>
    </border>
    <border>
      <left style="medium">
        <color indexed="64"/>
      </left>
      <right/>
      <top style="medium">
        <color indexed="64"/>
      </top>
      <bottom style="thin">
        <color theme="1"/>
      </bottom>
      <diagonal/>
    </border>
    <border>
      <left style="medium">
        <color indexed="64"/>
      </left>
      <right style="thin">
        <color indexed="64"/>
      </right>
      <top style="thin">
        <color indexed="64"/>
      </top>
      <bottom style="thin">
        <color indexed="64"/>
      </bottom>
      <diagonal/>
    </border>
    <border>
      <left style="thin">
        <color indexed="64"/>
      </left>
      <right/>
      <top/>
      <bottom style="thin">
        <color theme="1"/>
      </bottom>
      <diagonal/>
    </border>
  </borders>
  <cellStyleXfs count="1">
    <xf numFmtId="0" fontId="0" fillId="0" borderId="0"/>
  </cellStyleXfs>
  <cellXfs count="134">
    <xf numFmtId="0" fontId="0" fillId="0" borderId="0" xfId="0"/>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3" fillId="0" borderId="4" xfId="0" applyFont="1" applyBorder="1" applyAlignment="1">
      <alignment horizontal="center" vertical="center"/>
    </xf>
    <xf numFmtId="49" fontId="4" fillId="0" borderId="4" xfId="0" applyNumberFormat="1" applyFont="1" applyBorder="1" applyAlignment="1">
      <alignment horizontal="center" vertical="center" readingOrder="2"/>
    </xf>
    <xf numFmtId="0" fontId="3" fillId="0" borderId="4" xfId="0" applyFont="1" applyBorder="1" applyAlignment="1">
      <alignment horizontal="right" vertical="center" wrapText="1" readingOrder="2"/>
    </xf>
    <xf numFmtId="0" fontId="5" fillId="0" borderId="4" xfId="0" applyFont="1" applyBorder="1" applyAlignment="1">
      <alignment horizontal="right" vertical="center" readingOrder="2"/>
    </xf>
    <xf numFmtId="0" fontId="2" fillId="0" borderId="5" xfId="0" applyFont="1" applyBorder="1" applyAlignment="1">
      <alignment horizontal="center" vertical="center" wrapText="1"/>
    </xf>
    <xf numFmtId="0" fontId="3" fillId="0" borderId="4" xfId="0" applyFont="1" applyBorder="1" applyAlignment="1">
      <alignment horizontal="right" vertical="center" readingOrder="2"/>
    </xf>
    <xf numFmtId="0" fontId="3" fillId="0" borderId="4" xfId="0" applyFont="1" applyBorder="1" applyAlignment="1">
      <alignment horizontal="center" vertical="center" wrapText="1"/>
    </xf>
    <xf numFmtId="0" fontId="3" fillId="0" borderId="5" xfId="0" applyFont="1" applyBorder="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9" xfId="0" applyFont="1" applyBorder="1" applyAlignment="1">
      <alignment horizontal="center" vertical="center" wrapText="1"/>
    </xf>
    <xf numFmtId="0" fontId="3" fillId="0" borderId="9" xfId="0" applyFont="1" applyBorder="1" applyAlignment="1">
      <alignment horizontal="center" vertical="center"/>
    </xf>
    <xf numFmtId="0" fontId="4" fillId="0" borderId="9" xfId="0" applyFont="1" applyBorder="1" applyAlignment="1">
      <alignment horizontal="center" vertical="center" readingOrder="2"/>
    </xf>
    <xf numFmtId="0" fontId="3" fillId="0" borderId="9" xfId="0" applyFont="1" applyBorder="1" applyAlignment="1">
      <alignment horizontal="right" vertical="center" wrapText="1" readingOrder="2"/>
    </xf>
    <xf numFmtId="49" fontId="7" fillId="0" borderId="6"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7" fillId="0" borderId="2" xfId="0" applyNumberFormat="1" applyFont="1" applyBorder="1" applyAlignment="1">
      <alignment horizontal="center" vertical="center"/>
    </xf>
    <xf numFmtId="49" fontId="7" fillId="0" borderId="3" xfId="0" applyNumberFormat="1" applyFont="1" applyBorder="1" applyAlignment="1">
      <alignment horizontal="center" vertical="center"/>
    </xf>
    <xf numFmtId="0" fontId="0" fillId="0" borderId="19" xfId="0" applyBorder="1"/>
    <xf numFmtId="49" fontId="9" fillId="2" borderId="13" xfId="0" applyNumberFormat="1" applyFont="1" applyFill="1" applyBorder="1" applyAlignment="1">
      <alignment horizontal="center" vertical="center"/>
    </xf>
    <xf numFmtId="49" fontId="9" fillId="2" borderId="14" xfId="0" applyNumberFormat="1" applyFont="1" applyFill="1" applyBorder="1" applyAlignment="1">
      <alignment horizontal="center" vertical="center"/>
    </xf>
    <xf numFmtId="49" fontId="9" fillId="2" borderId="15" xfId="0" applyNumberFormat="1" applyFont="1" applyFill="1" applyBorder="1" applyAlignment="1">
      <alignment horizontal="center" vertical="center"/>
    </xf>
    <xf numFmtId="0" fontId="3" fillId="3" borderId="7"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4" xfId="0" applyFont="1" applyFill="1" applyBorder="1" applyAlignment="1">
      <alignment horizontal="center" vertical="center" wrapText="1"/>
    </xf>
    <xf numFmtId="49" fontId="3" fillId="3" borderId="4" xfId="0" applyNumberFormat="1" applyFont="1" applyFill="1" applyBorder="1" applyAlignment="1">
      <alignment horizontal="center" vertical="center" readingOrder="2"/>
    </xf>
    <xf numFmtId="49" fontId="5" fillId="3" borderId="4" xfId="0" applyNumberFormat="1" applyFont="1" applyFill="1" applyBorder="1" applyAlignment="1">
      <alignment horizontal="center" vertical="center" wrapText="1" readingOrder="2"/>
    </xf>
    <xf numFmtId="0" fontId="3" fillId="3" borderId="11" xfId="0" applyFont="1" applyFill="1" applyBorder="1" applyAlignment="1">
      <alignment horizontal="right" vertical="center" wrapText="1" readingOrder="2"/>
    </xf>
    <xf numFmtId="49" fontId="3" fillId="3" borderId="4" xfId="0" applyNumberFormat="1" applyFont="1" applyFill="1" applyBorder="1" applyAlignment="1">
      <alignment horizontal="center" vertical="center" wrapText="1" readingOrder="2"/>
    </xf>
    <xf numFmtId="0" fontId="3" fillId="3" borderId="4" xfId="0" applyFont="1" applyFill="1" applyBorder="1" applyAlignment="1">
      <alignment wrapText="1"/>
    </xf>
    <xf numFmtId="2" fontId="6" fillId="3" borderId="4" xfId="0" applyNumberFormat="1" applyFont="1" applyFill="1" applyBorder="1" applyAlignment="1">
      <alignment horizontal="center" vertical="center" wrapText="1"/>
    </xf>
    <xf numFmtId="49" fontId="5" fillId="3" borderId="4" xfId="0" applyNumberFormat="1" applyFont="1" applyFill="1" applyBorder="1" applyAlignment="1">
      <alignment horizontal="center" vertical="center" readingOrder="2"/>
    </xf>
    <xf numFmtId="0" fontId="3" fillId="4" borderId="7"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4" xfId="0" applyFont="1" applyFill="1" applyBorder="1" applyAlignment="1">
      <alignment horizontal="center" vertical="center" wrapText="1"/>
    </xf>
    <xf numFmtId="49" fontId="3" fillId="4" borderId="4" xfId="0" applyNumberFormat="1" applyFont="1" applyFill="1" applyBorder="1" applyAlignment="1">
      <alignment horizontal="center" vertical="center" readingOrder="2"/>
    </xf>
    <xf numFmtId="0" fontId="3" fillId="4" borderId="11" xfId="0" applyFont="1" applyFill="1" applyBorder="1" applyAlignment="1">
      <alignment horizontal="right" vertical="center" wrapText="1" readingOrder="2"/>
    </xf>
    <xf numFmtId="0" fontId="3" fillId="4" borderId="10"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5" xfId="0" applyFont="1" applyFill="1" applyBorder="1" applyAlignment="1">
      <alignment horizontal="center" vertical="center" wrapText="1"/>
    </xf>
    <xf numFmtId="0" fontId="3" fillId="4" borderId="12" xfId="0" applyFont="1" applyFill="1" applyBorder="1" applyAlignment="1">
      <alignment horizontal="right" vertical="center" wrapText="1" readingOrder="2"/>
    </xf>
    <xf numFmtId="0" fontId="3" fillId="3" borderId="10"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5" xfId="0" applyFont="1" applyFill="1" applyBorder="1" applyAlignment="1">
      <alignment horizontal="center" vertical="center" wrapText="1"/>
    </xf>
    <xf numFmtId="49" fontId="3" fillId="3" borderId="5" xfId="0" applyNumberFormat="1" applyFont="1" applyFill="1" applyBorder="1" applyAlignment="1">
      <alignment horizontal="center" vertical="center" readingOrder="2"/>
    </xf>
    <xf numFmtId="0" fontId="3" fillId="3" borderId="12" xfId="0" applyFont="1" applyFill="1" applyBorder="1" applyAlignment="1">
      <alignment horizontal="right" vertical="center" wrapText="1" readingOrder="2"/>
    </xf>
    <xf numFmtId="0" fontId="10" fillId="3" borderId="16" xfId="0" applyFont="1" applyFill="1" applyBorder="1" applyAlignment="1">
      <alignment horizontal="center" vertical="center"/>
    </xf>
    <xf numFmtId="0" fontId="1" fillId="3" borderId="17" xfId="0" applyFont="1" applyFill="1" applyBorder="1" applyAlignment="1">
      <alignment horizontal="center" vertical="center"/>
    </xf>
    <xf numFmtId="0" fontId="10" fillId="3" borderId="17" xfId="0" applyFont="1" applyFill="1" applyBorder="1" applyAlignment="1">
      <alignment horizontal="center" vertical="center"/>
    </xf>
    <xf numFmtId="0" fontId="11" fillId="3" borderId="17" xfId="0" applyFont="1" applyFill="1" applyBorder="1" applyAlignment="1">
      <alignment horizontal="center" vertical="center" readingOrder="2"/>
    </xf>
    <xf numFmtId="49" fontId="9" fillId="2" borderId="4" xfId="0" applyNumberFormat="1" applyFont="1" applyFill="1" applyBorder="1" applyAlignment="1">
      <alignment horizontal="center" vertical="center"/>
    </xf>
    <xf numFmtId="0" fontId="3" fillId="4" borderId="4" xfId="0" applyFont="1" applyFill="1" applyBorder="1" applyAlignment="1">
      <alignment horizontal="right" vertical="center" wrapText="1" readingOrder="2"/>
    </xf>
    <xf numFmtId="0" fontId="3" fillId="3" borderId="4" xfId="0" applyFont="1" applyFill="1" applyBorder="1" applyAlignment="1">
      <alignment horizontal="right" vertical="center" wrapText="1" readingOrder="2"/>
    </xf>
    <xf numFmtId="0" fontId="0" fillId="3" borderId="17" xfId="0" applyFill="1" applyBorder="1" applyAlignment="1">
      <alignment horizontal="center" vertical="center"/>
    </xf>
    <xf numFmtId="0" fontId="0" fillId="3" borderId="17" xfId="0" applyFill="1" applyBorder="1"/>
    <xf numFmtId="0" fontId="0" fillId="3" borderId="18" xfId="0" applyFill="1" applyBorder="1" applyAlignment="1">
      <alignment horizontal="right"/>
    </xf>
    <xf numFmtId="49" fontId="9" fillId="2" borderId="20" xfId="0" applyNumberFormat="1" applyFont="1" applyFill="1" applyBorder="1" applyAlignment="1">
      <alignment horizontal="center" vertical="center"/>
    </xf>
    <xf numFmtId="49" fontId="5" fillId="4" borderId="21" xfId="0" applyNumberFormat="1" applyFont="1" applyFill="1" applyBorder="1" applyAlignment="1">
      <alignment horizontal="center" vertical="center" readingOrder="2"/>
    </xf>
    <xf numFmtId="49" fontId="5" fillId="3" borderId="21" xfId="0" applyNumberFormat="1" applyFont="1" applyFill="1" applyBorder="1" applyAlignment="1">
      <alignment horizontal="center" vertical="center" wrapText="1" readingOrder="2"/>
    </xf>
    <xf numFmtId="49" fontId="5" fillId="4" borderId="21" xfId="0" applyNumberFormat="1" applyFont="1" applyFill="1" applyBorder="1" applyAlignment="1">
      <alignment horizontal="center" vertical="center" wrapText="1" readingOrder="2"/>
    </xf>
    <xf numFmtId="49" fontId="5" fillId="3" borderId="21" xfId="0" applyNumberFormat="1" applyFont="1" applyFill="1" applyBorder="1" applyAlignment="1">
      <alignment horizontal="center" vertical="center" readingOrder="2"/>
    </xf>
    <xf numFmtId="49" fontId="3" fillId="3" borderId="21" xfId="0" applyNumberFormat="1" applyFont="1" applyFill="1" applyBorder="1" applyAlignment="1">
      <alignment horizontal="center" vertical="center" readingOrder="2"/>
    </xf>
    <xf numFmtId="49" fontId="3" fillId="4" borderId="21" xfId="0" applyNumberFormat="1" applyFont="1" applyFill="1" applyBorder="1" applyAlignment="1">
      <alignment horizontal="center" vertical="center" wrapText="1" readingOrder="2"/>
    </xf>
    <xf numFmtId="49" fontId="3" fillId="4" borderId="21" xfId="0" applyNumberFormat="1" applyFont="1" applyFill="1" applyBorder="1" applyAlignment="1">
      <alignment horizontal="center" vertical="center" readingOrder="2"/>
    </xf>
    <xf numFmtId="49" fontId="5" fillId="4" borderId="22" xfId="0" applyNumberFormat="1" applyFont="1" applyFill="1" applyBorder="1" applyAlignment="1">
      <alignment horizontal="center" vertical="center" readingOrder="2"/>
    </xf>
    <xf numFmtId="49" fontId="5" fillId="3" borderId="22" xfId="0" applyNumberFormat="1" applyFont="1" applyFill="1" applyBorder="1" applyAlignment="1">
      <alignment horizontal="center" vertical="center" readingOrder="2"/>
    </xf>
    <xf numFmtId="0" fontId="3" fillId="3" borderId="16"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7" xfId="0" applyFont="1" applyFill="1" applyBorder="1" applyAlignment="1">
      <alignment horizontal="center" vertical="center" wrapText="1"/>
    </xf>
    <xf numFmtId="49" fontId="3" fillId="3" borderId="17" xfId="0" applyNumberFormat="1" applyFont="1" applyFill="1" applyBorder="1" applyAlignment="1">
      <alignment horizontal="center" vertical="center" readingOrder="2"/>
    </xf>
    <xf numFmtId="0" fontId="3" fillId="3" borderId="18" xfId="0" applyFont="1" applyFill="1" applyBorder="1" applyAlignment="1">
      <alignment horizontal="right" vertical="center" wrapText="1" readingOrder="2"/>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4" xfId="0" applyFont="1" applyFill="1" applyBorder="1" applyAlignment="1">
      <alignment horizontal="center" vertical="center" wrapText="1"/>
    </xf>
    <xf numFmtId="49" fontId="3" fillId="3" borderId="14" xfId="0" applyNumberFormat="1" applyFont="1" applyFill="1" applyBorder="1" applyAlignment="1">
      <alignment horizontal="center" vertical="center" readingOrder="2"/>
    </xf>
    <xf numFmtId="0" fontId="3" fillId="3" borderId="15" xfId="0" applyFont="1" applyFill="1" applyBorder="1" applyAlignment="1">
      <alignment horizontal="right" vertical="center" wrapText="1" readingOrder="2"/>
    </xf>
    <xf numFmtId="14" fontId="0" fillId="0" borderId="0" xfId="0" applyNumberFormat="1"/>
    <xf numFmtId="0" fontId="0" fillId="3" borderId="19" xfId="0" applyFill="1" applyBorder="1"/>
    <xf numFmtId="49" fontId="3" fillId="3" borderId="22" xfId="0" applyNumberFormat="1" applyFont="1" applyFill="1" applyBorder="1" applyAlignment="1">
      <alignment horizontal="center" vertical="center" readingOrder="2"/>
    </xf>
    <xf numFmtId="0" fontId="0" fillId="0" borderId="0" xfId="0" applyAlignment="1">
      <alignment wrapText="1"/>
    </xf>
    <xf numFmtId="49" fontId="9" fillId="2" borderId="4" xfId="0" applyNumberFormat="1" applyFont="1" applyFill="1" applyBorder="1" applyAlignment="1">
      <alignment horizontal="center" vertical="center" wrapText="1"/>
    </xf>
    <xf numFmtId="0" fontId="0" fillId="3" borderId="19" xfId="0" applyFill="1" applyBorder="1" applyAlignment="1">
      <alignment wrapText="1"/>
    </xf>
    <xf numFmtId="49" fontId="7" fillId="5" borderId="1" xfId="0" applyNumberFormat="1" applyFont="1" applyFill="1" applyBorder="1" applyAlignment="1">
      <alignment horizontal="center" vertical="center"/>
    </xf>
    <xf numFmtId="49" fontId="8" fillId="5" borderId="1" xfId="0" applyNumberFormat="1" applyFont="1" applyFill="1" applyBorder="1" applyAlignment="1">
      <alignment horizontal="center" vertical="center"/>
    </xf>
    <xf numFmtId="49" fontId="7" fillId="5" borderId="2" xfId="0" applyNumberFormat="1" applyFont="1" applyFill="1" applyBorder="1" applyAlignment="1">
      <alignment horizontal="center" vertical="center"/>
    </xf>
    <xf numFmtId="49" fontId="7" fillId="5" borderId="6" xfId="0" applyNumberFormat="1" applyFont="1" applyFill="1" applyBorder="1" applyAlignment="1">
      <alignment horizontal="center" vertical="center"/>
    </xf>
    <xf numFmtId="0" fontId="2" fillId="0" borderId="24" xfId="0" applyFont="1" applyBorder="1" applyAlignment="1">
      <alignment horizontal="center" vertical="center"/>
    </xf>
    <xf numFmtId="0" fontId="2" fillId="0" borderId="24" xfId="0" applyFont="1" applyBorder="1" applyAlignment="1">
      <alignment horizontal="center" vertical="center" wrapText="1"/>
    </xf>
    <xf numFmtId="0" fontId="3" fillId="0" borderId="24" xfId="0" applyFont="1" applyBorder="1" applyAlignment="1">
      <alignment horizontal="center" vertical="center"/>
    </xf>
    <xf numFmtId="49" fontId="4" fillId="0" borderId="24" xfId="0" applyNumberFormat="1" applyFont="1" applyBorder="1" applyAlignment="1">
      <alignment horizontal="center" vertical="center" readingOrder="2"/>
    </xf>
    <xf numFmtId="0" fontId="2" fillId="6" borderId="4" xfId="0" applyFont="1" applyFill="1" applyBorder="1" applyAlignment="1">
      <alignment horizontal="center" vertical="center" readingOrder="2"/>
    </xf>
    <xf numFmtId="0" fontId="2" fillId="6" borderId="4" xfId="0" applyFont="1" applyFill="1" applyBorder="1" applyAlignment="1">
      <alignment horizontal="center" vertical="center" wrapText="1" readingOrder="1"/>
    </xf>
    <xf numFmtId="0" fontId="3" fillId="6" borderId="4" xfId="0" applyFont="1" applyFill="1" applyBorder="1" applyAlignment="1">
      <alignment horizontal="center" vertical="center" readingOrder="2"/>
    </xf>
    <xf numFmtId="49" fontId="2" fillId="6" borderId="4" xfId="0" applyNumberFormat="1" applyFont="1" applyFill="1" applyBorder="1" applyAlignment="1">
      <alignment horizontal="center" vertical="center" readingOrder="2"/>
    </xf>
    <xf numFmtId="0" fontId="2" fillId="6" borderId="7" xfId="0" applyFont="1" applyFill="1" applyBorder="1" applyAlignment="1">
      <alignment horizontal="center" vertical="center" readingOrder="1"/>
    </xf>
    <xf numFmtId="0" fontId="0" fillId="0" borderId="4" xfId="0" applyBorder="1" applyAlignment="1">
      <alignment horizontal="center" vertical="center"/>
    </xf>
    <xf numFmtId="49" fontId="4" fillId="0" borderId="0" xfId="0" applyNumberFormat="1" applyFont="1" applyAlignment="1">
      <alignment horizontal="center" vertical="center" readingOrder="2"/>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49" fontId="7" fillId="0" borderId="25" xfId="0" applyNumberFormat="1"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7" xfId="0" applyFont="1" applyBorder="1" applyAlignment="1">
      <alignment horizontal="center" vertical="center" wrapText="1"/>
    </xf>
    <xf numFmtId="0" fontId="3" fillId="0" borderId="17" xfId="0" applyFont="1" applyBorder="1" applyAlignment="1">
      <alignment horizontal="center" vertical="center"/>
    </xf>
    <xf numFmtId="49" fontId="4" fillId="0" borderId="17" xfId="0" applyNumberFormat="1" applyFont="1" applyBorder="1" applyAlignment="1">
      <alignment horizontal="center" vertical="center" readingOrder="2"/>
    </xf>
    <xf numFmtId="0" fontId="4" fillId="0" borderId="17" xfId="0" applyFont="1" applyBorder="1" applyAlignment="1">
      <alignment horizontal="center" vertical="center" readingOrder="2"/>
    </xf>
    <xf numFmtId="0" fontId="0" fillId="3" borderId="0" xfId="0" applyFill="1"/>
    <xf numFmtId="49" fontId="5" fillId="4" borderId="4" xfId="0" applyNumberFormat="1" applyFont="1" applyFill="1" applyBorder="1" applyAlignment="1">
      <alignment horizontal="center" vertical="center" wrapText="1" readingOrder="2"/>
    </xf>
    <xf numFmtId="49" fontId="5" fillId="4" borderId="22" xfId="0" applyNumberFormat="1" applyFont="1" applyFill="1" applyBorder="1" applyAlignment="1">
      <alignment horizontal="center" vertical="center" wrapText="1" readingOrder="2"/>
    </xf>
    <xf numFmtId="49" fontId="5" fillId="3" borderId="22" xfId="0" applyNumberFormat="1" applyFont="1" applyFill="1" applyBorder="1" applyAlignment="1">
      <alignment horizontal="center" vertical="center" wrapText="1" readingOrder="2"/>
    </xf>
    <xf numFmtId="49" fontId="7" fillId="0" borderId="26" xfId="0" applyNumberFormat="1" applyFont="1" applyBorder="1" applyAlignment="1">
      <alignment horizontal="center" vertical="center"/>
    </xf>
    <xf numFmtId="0" fontId="4" fillId="0" borderId="9" xfId="0" applyFont="1" applyBorder="1" applyAlignment="1">
      <alignment horizontal="center" vertical="center" wrapText="1" readingOrder="2"/>
    </xf>
    <xf numFmtId="0" fontId="0" fillId="0" borderId="0" xfId="0" applyAlignment="1">
      <alignment horizontal="center" vertical="center" wrapText="1"/>
    </xf>
    <xf numFmtId="0" fontId="13" fillId="0" borderId="26" xfId="0" applyFont="1" applyBorder="1" applyAlignment="1">
      <alignment horizontal="center" vertical="center" wrapText="1"/>
    </xf>
    <xf numFmtId="0" fontId="0" fillId="0" borderId="0" xfId="0" applyAlignment="1">
      <alignment horizontal="center" vertical="center"/>
    </xf>
    <xf numFmtId="49" fontId="7" fillId="5" borderId="27" xfId="0" applyNumberFormat="1" applyFont="1" applyFill="1" applyBorder="1" applyAlignment="1">
      <alignment horizontal="center" vertical="center"/>
    </xf>
    <xf numFmtId="0" fontId="2" fillId="7" borderId="28"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4" xfId="0" applyFont="1" applyFill="1" applyBorder="1" applyAlignment="1">
      <alignment horizontal="center" vertical="center" wrapText="1"/>
    </xf>
    <xf numFmtId="0" fontId="3" fillId="7" borderId="4" xfId="0" applyFont="1" applyFill="1" applyBorder="1" applyAlignment="1">
      <alignment horizontal="center" vertical="center"/>
    </xf>
    <xf numFmtId="0" fontId="14" fillId="0" borderId="0" xfId="0" applyFont="1" applyAlignment="1">
      <alignment vertical="center"/>
    </xf>
    <xf numFmtId="0" fontId="2" fillId="0" borderId="28" xfId="0" applyFont="1" applyBorder="1" applyAlignment="1">
      <alignment horizontal="center" vertical="center"/>
    </xf>
    <xf numFmtId="49" fontId="7" fillId="0" borderId="29" xfId="0" applyNumberFormat="1" applyFont="1" applyBorder="1" applyAlignment="1">
      <alignment horizontal="center" vertical="center"/>
    </xf>
    <xf numFmtId="49" fontId="8" fillId="0" borderId="29" xfId="0" applyNumberFormat="1" applyFont="1" applyBorder="1" applyAlignment="1">
      <alignment horizontal="center" vertical="center"/>
    </xf>
    <xf numFmtId="0" fontId="0" fillId="0" borderId="23" xfId="0" applyBorder="1" applyAlignment="1">
      <alignment horizontal="center"/>
    </xf>
    <xf numFmtId="14" fontId="0" fillId="0" borderId="20" xfId="0" applyNumberFormat="1" applyBorder="1" applyAlignment="1">
      <alignment horizontal="center"/>
    </xf>
    <xf numFmtId="0" fontId="12" fillId="0" borderId="20" xfId="0" applyFont="1" applyBorder="1" applyAlignment="1">
      <alignment horizontal="center"/>
    </xf>
  </cellXfs>
  <cellStyles count="1">
    <cellStyle name="Normal" xfId="0" builtinId="0"/>
  </cellStyles>
  <dxfs count="125">
    <dxf>
      <fill>
        <patternFill>
          <bgColor theme="0"/>
        </patternFill>
      </fill>
      <alignment textRotation="0" wrapText="1" indent="0" justifyLastLine="0" shrinkToFit="0"/>
    </dxf>
    <dxf>
      <fill>
        <patternFill patternType="solid">
          <fgColor indexed="64"/>
          <bgColor theme="0"/>
        </patternFill>
      </fill>
      <alignment horizontal="general" vertical="bottom" textRotation="0" wrapText="1" indent="0" justifyLastLine="0" shrinkToFit="0" readingOrder="0"/>
      <border diagonalUp="0" diagonalDown="0" outline="0">
        <left/>
        <right/>
        <top style="thin">
          <color indexed="64"/>
        </top>
        <bottom/>
      </border>
    </dxf>
    <dxf>
      <fill>
        <patternFill>
          <bgColor theme="0"/>
        </patternFill>
      </fill>
    </dxf>
    <dxf>
      <fill>
        <patternFill patternType="solid">
          <fgColor indexed="64"/>
          <bgColor theme="0"/>
        </patternFill>
      </fill>
      <border diagonalUp="0" diagonalDown="0" outline="0">
        <left/>
        <right/>
        <top style="thin">
          <color indexed="64"/>
        </top>
        <bottom/>
      </border>
    </dxf>
    <dxf>
      <fill>
        <patternFill>
          <bgColor theme="0"/>
        </patternFill>
      </fill>
    </dxf>
    <dxf>
      <fill>
        <patternFill patternType="solid">
          <fgColor indexed="64"/>
          <bgColor theme="0"/>
        </patternFill>
      </fill>
      <border diagonalUp="0" diagonalDown="0" outline="0">
        <left/>
        <right/>
        <top style="thin">
          <color indexed="64"/>
        </top>
        <bottom/>
      </border>
    </dxf>
    <dxf>
      <fill>
        <patternFill>
          <bgColor theme="0"/>
        </patternFill>
      </fill>
    </dxf>
    <dxf>
      <fill>
        <patternFill patternType="solid">
          <fgColor indexed="64"/>
          <bgColor theme="0"/>
        </patternFill>
      </fill>
      <border diagonalUp="0" diagonalDown="0" outline="0">
        <left/>
        <right/>
        <top style="thin">
          <color indexed="64"/>
        </top>
        <bottom/>
      </border>
    </dxf>
    <dxf>
      <fill>
        <patternFill>
          <bgColor theme="0"/>
        </patternFill>
      </fill>
    </dxf>
    <dxf>
      <fill>
        <patternFill patternType="solid">
          <fgColor indexed="64"/>
          <bgColor theme="0"/>
        </patternFill>
      </fill>
      <border diagonalUp="0" diagonalDown="0" outline="0">
        <left/>
        <right/>
        <top style="thin">
          <color indexed="64"/>
        </top>
        <bottom/>
      </border>
    </dxf>
    <dxf>
      <fill>
        <patternFill>
          <bgColor theme="0"/>
        </patternFill>
      </fill>
    </dxf>
    <dxf>
      <fill>
        <patternFill patternType="solid">
          <fgColor indexed="64"/>
          <bgColor theme="0"/>
        </patternFill>
      </fill>
      <border diagonalUp="0" diagonalDown="0" outline="0">
        <left/>
        <right/>
        <top style="thin">
          <color indexed="64"/>
        </top>
        <bottom/>
      </border>
    </dxf>
    <dxf>
      <fill>
        <patternFill>
          <bgColor theme="0"/>
        </patternFill>
      </fill>
    </dxf>
    <dxf>
      <fill>
        <patternFill patternType="solid">
          <fgColor indexed="64"/>
          <bgColor theme="0"/>
        </patternFill>
      </fill>
      <border diagonalUp="0" diagonalDown="0" outline="0">
        <left/>
        <right/>
        <top style="thin">
          <color indexed="64"/>
        </top>
        <bottom/>
      </border>
    </dxf>
    <dxf>
      <fill>
        <patternFill>
          <bgColor theme="0"/>
        </patternFill>
      </fill>
    </dxf>
    <dxf>
      <fill>
        <patternFill patternType="solid">
          <fgColor indexed="64"/>
          <bgColor theme="0"/>
        </patternFill>
      </fill>
      <border diagonalUp="0" diagonalDown="0" outline="0">
        <left/>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bgColor theme="0"/>
        </patternFill>
      </fill>
    </dxf>
    <dxf>
      <font>
        <b/>
        <i val="0"/>
        <strike val="0"/>
        <condense val="0"/>
        <extend val="0"/>
        <outline val="0"/>
        <shadow val="0"/>
        <u val="none"/>
        <vertAlign val="baseline"/>
        <sz val="14"/>
        <color auto="1"/>
        <name val="Sakkal Majalla"/>
        <scheme val="none"/>
      </font>
      <numFmt numFmtId="30" formatCode="@"/>
      <fill>
        <patternFill patternType="solid">
          <fgColor theme="1"/>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Sakkal Majalla"/>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top style="medium">
          <color indexed="64"/>
        </top>
        <bottom style="thin">
          <color indexed="64"/>
        </bottom>
      </border>
    </dxf>
    <dxf>
      <border outline="0">
        <bottom style="thin">
          <color theme="1"/>
        </bottom>
      </border>
    </dxf>
    <dxf>
      <font>
        <b/>
        <i val="0"/>
        <strike val="0"/>
        <condense val="0"/>
        <extend val="0"/>
        <outline val="0"/>
        <shadow val="0"/>
        <u val="none"/>
        <vertAlign val="baseline"/>
        <sz val="12"/>
        <color theme="0"/>
        <name val="Arial"/>
        <family val="2"/>
        <scheme val="none"/>
      </font>
      <numFmt numFmtId="30" formatCode="@"/>
      <fill>
        <patternFill patternType="none">
          <fgColor indexed="64"/>
          <bgColor indexed="65"/>
        </patternFill>
      </fill>
      <alignment horizontal="center" vertical="center" textRotation="0" wrapText="0" indent="0" justifyLastLine="0" shrinkToFit="0" readingOrder="0"/>
    </dxf>
    <dxf>
      <fill>
        <patternFill patternType="solid">
          <fgColor indexed="64"/>
          <bgColor theme="0"/>
        </patternFill>
      </fill>
      <alignment horizontal="general" vertical="bottom" textRotation="0" wrapText="1" indent="0" justifyLastLine="0" shrinkToFit="0" readingOrder="0"/>
      <border diagonalUp="0" diagonalDown="0" outline="0">
        <left/>
        <right/>
        <top style="thin">
          <color indexed="64"/>
        </top>
        <bottom/>
      </border>
    </dxf>
    <dxf>
      <fill>
        <patternFill>
          <bgColor theme="0"/>
        </patternFill>
      </fill>
      <alignment textRotation="0" wrapText="1" indent="0" justifyLastLine="0" shrinkToFit="0"/>
    </dxf>
    <dxf>
      <fill>
        <patternFill patternType="solid">
          <fgColor indexed="64"/>
          <bgColor theme="0"/>
        </patternFill>
      </fill>
      <border diagonalUp="0" diagonalDown="0" outline="0">
        <left/>
        <right/>
        <top style="thin">
          <color indexed="64"/>
        </top>
        <bottom/>
      </border>
    </dxf>
    <dxf>
      <fill>
        <patternFill>
          <bgColor theme="0"/>
        </patternFill>
      </fill>
    </dxf>
    <dxf>
      <fill>
        <patternFill patternType="solid">
          <fgColor indexed="64"/>
          <bgColor theme="0"/>
        </patternFill>
      </fill>
      <border diagonalUp="0" diagonalDown="0" outline="0">
        <left/>
        <right/>
        <top style="thin">
          <color indexed="64"/>
        </top>
        <bottom/>
      </border>
    </dxf>
    <dxf>
      <fill>
        <patternFill>
          <bgColor theme="0"/>
        </patternFill>
      </fill>
    </dxf>
    <dxf>
      <fill>
        <patternFill patternType="solid">
          <fgColor indexed="64"/>
          <bgColor theme="0"/>
        </patternFill>
      </fill>
    </dxf>
    <dxf>
      <font>
        <b val="0"/>
        <i val="0"/>
        <strike val="0"/>
        <condense val="0"/>
        <extend val="0"/>
        <outline val="0"/>
        <shadow val="0"/>
        <u val="none"/>
        <vertAlign val="baseline"/>
        <sz val="9"/>
        <color auto="1"/>
        <name val="Sakkal Majalla"/>
        <scheme val="none"/>
      </font>
      <fill>
        <patternFill patternType="solid">
          <fgColor theme="0" tint="-0.14999847407452621"/>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right/>
        <top style="thin">
          <color indexed="64"/>
        </top>
        <bottom/>
      </border>
    </dxf>
    <dxf>
      <fill>
        <patternFill>
          <bgColor theme="0"/>
        </patternFill>
      </fill>
    </dxf>
    <dxf>
      <fill>
        <patternFill patternType="solid">
          <fgColor indexed="64"/>
          <bgColor theme="0"/>
        </patternFill>
      </fill>
      <border diagonalUp="0" diagonalDown="0" outline="0">
        <left/>
        <right/>
        <top style="thin">
          <color indexed="64"/>
        </top>
        <bottom/>
      </border>
    </dxf>
    <dxf>
      <fill>
        <patternFill>
          <bgColor theme="0"/>
        </patternFill>
      </fill>
    </dxf>
    <dxf>
      <fill>
        <patternFill patternType="solid">
          <fgColor indexed="64"/>
          <bgColor theme="0"/>
        </patternFill>
      </fill>
      <border diagonalUp="0" diagonalDown="0" outline="0">
        <left/>
        <right/>
        <top style="thin">
          <color indexed="64"/>
        </top>
        <bottom/>
      </border>
    </dxf>
    <dxf>
      <fill>
        <patternFill>
          <bgColor theme="0"/>
        </patternFill>
      </fill>
    </dxf>
    <dxf>
      <fill>
        <patternFill patternType="solid">
          <fgColor indexed="64"/>
          <bgColor theme="0"/>
        </patternFill>
      </fill>
      <border diagonalUp="0" diagonalDown="0" outline="0">
        <left/>
        <right/>
        <top style="thin">
          <color indexed="64"/>
        </top>
        <bottom/>
      </border>
    </dxf>
    <dxf>
      <fill>
        <patternFill>
          <bgColor theme="0"/>
        </patternFill>
      </fill>
    </dxf>
    <dxf>
      <fill>
        <patternFill patternType="solid">
          <fgColor indexed="64"/>
          <bgColor theme="0"/>
        </patternFill>
      </fill>
      <border diagonalUp="0" diagonalDown="0" outline="0">
        <left/>
        <right/>
        <top style="thin">
          <color indexed="64"/>
        </top>
        <bottom/>
      </border>
    </dxf>
    <dxf>
      <fill>
        <patternFill>
          <bgColor theme="0"/>
        </patternFill>
      </fill>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bgColor rgb="FFFFFFFF"/>
        </patternFill>
      </fill>
    </dxf>
    <dxf>
      <border outline="0">
        <bottom style="thin">
          <color rgb="FF000000"/>
        </bottom>
      </border>
    </dxf>
    <dxf>
      <font>
        <b/>
        <i val="0"/>
        <strike val="0"/>
        <condense val="0"/>
        <extend val="0"/>
        <outline val="0"/>
        <shadow val="0"/>
        <u val="none"/>
        <vertAlign val="baseline"/>
        <sz val="14"/>
        <color auto="1"/>
        <name val="Sakkal Majalla"/>
        <scheme val="none"/>
      </font>
      <numFmt numFmtId="30" formatCode="@"/>
      <fill>
        <patternFill patternType="solid">
          <fgColor theme="1"/>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auto="1"/>
        <name val="Sakkal Majalla"/>
        <scheme val="none"/>
      </font>
      <numFmt numFmtId="30" formatCode="@"/>
      <fill>
        <patternFill patternType="solid">
          <fgColor theme="1"/>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auto="1"/>
        <name val="Sakkal Majalla"/>
        <scheme val="none"/>
      </font>
      <numFmt numFmtId="30" formatCode="@"/>
      <fill>
        <patternFill patternType="solid">
          <fgColor theme="1"/>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horizontal="center" vertical="center" textRotation="0" wrapText="0" indent="0" justifyLastLine="0" shrinkToFit="0" readingOrder="2"/>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indexed="64"/>
          <bgColor auto="1"/>
        </patternFill>
      </fill>
      <alignment horizontal="center" vertical="center" textRotation="0" wrapText="0" indent="0" justifyLastLine="0" shrinkToFit="0" readingOrder="2"/>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horizontal="center" vertical="center" textRotation="0" wrapText="0" indent="0" justifyLastLine="0" shrinkToFit="0" readingOrder="2"/>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indexed="64"/>
          <bgColor auto="1"/>
        </patternFill>
      </fill>
      <alignment horizontal="center" vertical="center" textRotation="0" wrapText="0" indent="0" justifyLastLine="0" shrinkToFit="0" readingOrder="2"/>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Sakkal Majalla"/>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Sakkal Majalla"/>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auto="1"/>
        <name val="Arial"/>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9"/>
        <color auto="1"/>
        <name val="Arial"/>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medium">
          <color indexed="64"/>
        </left>
        <bottom style="thin">
          <color indexed="64"/>
        </bottom>
      </border>
    </dxf>
    <dxf>
      <fill>
        <patternFill patternType="none">
          <fgColor indexed="64"/>
          <bgColor auto="1"/>
        </patternFill>
      </fill>
    </dxf>
    <dxf>
      <border outline="0">
        <bottom style="thin">
          <color theme="1"/>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left style="medium">
          <color indexed="64"/>
        </left>
        <bottom style="thin">
          <color theme="1"/>
        </bottom>
      </border>
    </dxf>
    <dxf>
      <fill>
        <patternFill patternType="none">
          <fgColor indexed="64"/>
          <bgColor auto="1"/>
        </patternFill>
      </fill>
    </dxf>
    <dxf>
      <border outline="0">
        <bottom style="thin">
          <color theme="1"/>
        </bottom>
      </border>
    </dxf>
    <dxf>
      <font>
        <b val="0"/>
        <i val="0"/>
        <strike val="0"/>
        <condense val="0"/>
        <extend val="0"/>
        <outline val="0"/>
        <shadow val="0"/>
        <u val="none"/>
        <vertAlign val="baseline"/>
        <sz val="9"/>
        <color auto="1"/>
        <name val="Arial"/>
        <family val="2"/>
        <scheme val="none"/>
      </font>
      <alignment horizontal="center" vertical="center" textRotation="0" wrapText="1" indent="0" justifyLastLine="0" shrinkToFit="0" readingOrder="2"/>
      <border diagonalUp="0" diagonalDown="0" outline="0">
        <left style="thin">
          <color indexed="64"/>
        </left>
        <right style="thin">
          <color indexed="64"/>
        </right>
        <top/>
        <bottom/>
      </border>
    </dxf>
    <dxf>
      <alignment horizontal="center" vertical="center" textRotation="0" indent="0" justifyLastLine="0" shrinkToFit="0"/>
    </dxf>
    <dxf>
      <font>
        <b val="0"/>
        <i val="0"/>
        <strike val="0"/>
        <condense val="0"/>
        <extend val="0"/>
        <outline val="0"/>
        <shadow val="0"/>
        <u val="none"/>
        <vertAlign val="baseline"/>
        <sz val="9"/>
        <color auto="1"/>
        <name val="Sakkal Majalla"/>
        <scheme val="none"/>
      </font>
      <alignment horizontal="right" vertical="center" textRotation="0" wrapText="1" indent="0" justifyLastLine="0" shrinkToFit="0" readingOrder="2"/>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Sakkal Majalla"/>
        <scheme val="none"/>
      </font>
      <fill>
        <patternFill patternType="none">
          <fgColor indexed="64"/>
          <bgColor indexed="65"/>
        </patternFill>
      </fill>
      <alignment horizontal="right" vertical="center"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2"/>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2"/>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2"/>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2"/>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2"/>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2"/>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Sakkal Majalla"/>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Sakkal Majalla"/>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minor"/>
      </font>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9"/>
        <color auto="1"/>
        <name val="Arial"/>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bottom style="thin">
          <color theme="1"/>
        </bottom>
      </border>
    </dxf>
    <dxf>
      <border outline="0">
        <bottom style="thin">
          <color theme="1"/>
        </bottom>
      </border>
    </dxf>
    <dxf>
      <font>
        <strike val="0"/>
        <outline val="0"/>
        <shadow val="0"/>
        <u val="none"/>
        <vertAlign val="baseline"/>
        <sz val="12"/>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Ahmed M. Zakan" id="{C5F445F0-094B-4167-BEAB-66C7EE9BD000}" userId="S::AZakan@sar.com.sa::9d3818d6-55c3-430d-aed5-476ac30dfcc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DD0ECC-1668-4B79-9ACA-789AD9EB25C7}" name="Table1" displayName="Table1" ref="A2:M58" totalsRowCount="1" headerRowDxfId="124" headerRowBorderDxfId="123" tableBorderDxfId="122">
  <autoFilter ref="A2:M57" xr:uid="{C3DD0ECC-1668-4B79-9ACA-789AD9EB25C7}"/>
  <sortState xmlns:xlrd2="http://schemas.microsoft.com/office/spreadsheetml/2017/richdata2" ref="A29:M55">
    <sortCondition descending="1" ref="B2:B57"/>
  </sortState>
  <tableColumns count="13">
    <tableColumn id="1" xr3:uid="{3E09D73C-C601-45A3-BF28-F940DE45B1C3}" name="No" totalsRowFunction="count" dataDxfId="121" totalsRowDxfId="120"/>
    <tableColumn id="2" xr3:uid="{CCC22F34-AEA8-44C6-9F64-BB6C022EE9E3}" name="المدينة" dataDxfId="119" totalsRowDxfId="118"/>
    <tableColumn id="3" xr3:uid="{16809E34-5A42-4AD9-A3D5-4E16F5E6058E}" name="رقم الارض" dataDxfId="117" totalsRowDxfId="116"/>
    <tableColumn id="4" xr3:uid="{A2594D31-5650-497E-8A05-F1EB8780413C}" name="المتعدي" dataDxfId="115" totalsRowDxfId="114"/>
    <tableColumn id="5" xr3:uid="{BE3E2A5F-21CA-4DD3-AB5A-D4591FA187C3}" name="التصنيف" dataDxfId="113" totalsRowDxfId="112"/>
    <tableColumn id="6" xr3:uid="{80AC357C-DDA6-44C4-996A-DAD51912D74A}" name="حالة التعدي " dataDxfId="111" totalsRowDxfId="110"/>
    <tableColumn id="9" xr3:uid="{1DABFE1A-4E23-4CFA-8B19-B6334E94195B}" name="حالة الفضية" dataDxfId="109" totalsRowDxfId="108"/>
    <tableColumn id="7" xr3:uid="{C0D3B6D7-5FAA-4566-9B47-FBB3FDB21E9E}" name="رقم الواقعة الإيجارية" totalsRowFunction="count" dataDxfId="107" totalsRowDxfId="106"/>
    <tableColumn id="11" xr3:uid="{BD5D01B6-1CC9-44FB-BA00-111474F28EBE}" name="رقم الدعوى القضائية" dataDxfId="105" totalsRowDxfId="104"/>
    <tableColumn id="13" xr3:uid="{D3EAECE5-CACB-44EB-80D1-C705B53F062D}" name="رقم صك الدعوى" dataDxfId="103" totalsRowDxfId="102"/>
    <tableColumn id="14" xr3:uid="{71AB443A-3CA3-4FE7-9AB0-05AA9EC06695}" name="تاريخ صك الدعوى" dataDxfId="101" totalsRowDxfId="100"/>
    <tableColumn id="8" xr3:uid="{A358056B-4A1E-47DF-B89D-38FAD524B80E}" name="الاجرائات " totalsRowFunction="count" dataDxfId="99" totalsRowDxfId="98"/>
    <tableColumn id="10" xr3:uid="{72B90490-F63C-44DE-9CE5-FDF9403ED346}" name="أين المعاملة" dataDxfId="97" totalsRowDxfId="9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401C7D-F84C-4EA3-B107-1C26C3C40A90}" name="Table2" displayName="Table2" ref="A2:H57" totalsRowCount="1" headerRowDxfId="20" dataDxfId="19" headerRowBorderDxfId="17" tableBorderDxfId="18" totalsRowBorderDxfId="16">
  <autoFilter ref="A2:H56" xr:uid="{EA401C7D-F84C-4EA3-B107-1C26C3C40A90}"/>
  <sortState xmlns:xlrd2="http://schemas.microsoft.com/office/spreadsheetml/2017/richdata2" ref="A10:H56">
    <sortCondition ref="F2:F56"/>
  </sortState>
  <tableColumns count="8">
    <tableColumn id="1" xr3:uid="{21778C04-7981-405B-B7A3-1A83B65182F1}" name="No" totalsRowLabel="Total" dataDxfId="14" totalsRowDxfId="15"/>
    <tableColumn id="2" xr3:uid="{27EDB3FE-6127-40EC-AF3C-374C015D29C8}" name="المدينة" totalsRowFunction="count" dataDxfId="12" totalsRowDxfId="13"/>
    <tableColumn id="3" xr3:uid="{9C2B4D3C-E290-4232-941E-E918C56ADED5}" name="رقم الارض" totalsRowFunction="count" dataDxfId="10" totalsRowDxfId="11"/>
    <tableColumn id="4" xr3:uid="{97CF2C91-ACCD-48B2-AA86-9FD3861E0CDA}" name="المتعدي" dataDxfId="8" totalsRowDxfId="9"/>
    <tableColumn id="5" xr3:uid="{3461AC60-44FC-4D6F-92F6-7BA2892935DF}" name="التصنيف " dataDxfId="6" totalsRowDxfId="7"/>
    <tableColumn id="6" xr3:uid="{C6F23731-48CD-43A3-A844-3EB636FC2E95}" name="حالة التعدي" dataDxfId="4" totalsRowDxfId="5"/>
    <tableColumn id="7" xr3:uid="{10A7D538-71E8-4264-B7DC-40E9389A2341}" name="رقم بلاغ الشرطة " dataDxfId="2" totalsRowDxfId="3"/>
    <tableColumn id="8" xr3:uid="{A4964D75-DAB4-4620-879E-D411825E83CC}" name="الإجراءات" totalsRowFunction="count" dataDxfId="0" totalsRowDxfId="1"/>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4131B9-C63A-4961-A84A-8C61C29D4C5D}" name="Table5" displayName="Table5" ref="A1:G32" totalsRowCount="1" dataDxfId="94" headerRowBorderDxfId="95" tableBorderDxfId="93">
  <autoFilter ref="A1:G31" xr:uid="{7A4131B9-C63A-4961-A84A-8C61C29D4C5D}">
    <filterColumn colId="6">
      <filters>
        <filter val="حكم ابتدائي"/>
        <filter val="حكم نهائي"/>
        <filter val="قضية منظورة"/>
      </filters>
    </filterColumn>
  </autoFilter>
  <sortState xmlns:xlrd2="http://schemas.microsoft.com/office/spreadsheetml/2017/richdata2" ref="A10:G24">
    <sortCondition ref="G1:G31"/>
  </sortState>
  <tableColumns count="7">
    <tableColumn id="1" xr3:uid="{C55E2A17-F9E7-4D9C-96AC-8EA72F3E6068}" name="No" totalsRowLabel="Total" dataDxfId="92"/>
    <tableColumn id="2" xr3:uid="{520834C1-340E-484E-8988-5D5D4C816EB8}" name="المدينة" dataDxfId="91"/>
    <tableColumn id="3" xr3:uid="{4EE53D72-7D3F-4B68-A9A1-586DC434E1D0}" name="رقم الارض" dataDxfId="90"/>
    <tableColumn id="4" xr3:uid="{0DFB4BC3-C655-4983-A451-512B9D0B3BB8}" name="المتعدي" dataDxfId="89"/>
    <tableColumn id="5" xr3:uid="{42543396-E368-4E80-9DBE-1C5D6BA6312B}" name="التصنيف" dataDxfId="88"/>
    <tableColumn id="6" xr3:uid="{D1296A78-355A-42E6-BBA8-245120993A5A}" name="حالة التعدي " dataDxfId="87"/>
    <tableColumn id="7" xr3:uid="{41369C92-8226-484D-BC56-4A2E7075D1B0}" name="ملاحظات" totalsRowFunction="count" dataDxfId="86"/>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9BF6AA-D2C5-4B54-98AD-E20A412FD3DB}" name="Table7" displayName="Table7" ref="A36:G42" totalsRowCount="1" headerRowDxfId="85" dataDxfId="83" headerRowBorderDxfId="84" tableBorderDxfId="82" totalsRowBorderDxfId="81">
  <autoFilter ref="A36:G41" xr:uid="{E49BF6AA-D2C5-4B54-98AD-E20A412FD3DB}"/>
  <tableColumns count="7">
    <tableColumn id="1" xr3:uid="{931D61B7-DEAE-4D93-8511-CCFEC615B58F}" name="No" totalsRowLabel="Total" dataDxfId="80" totalsRowDxfId="79"/>
    <tableColumn id="2" xr3:uid="{A4BEA9E0-020C-4A6E-856B-E73F40809FFA}" name="المدينة" dataDxfId="78" totalsRowDxfId="77"/>
    <tableColumn id="3" xr3:uid="{904C6A8C-833D-404E-B991-5F07ACDDD637}" name="رقم الارض" totalsRowFunction="count" dataDxfId="76" totalsRowDxfId="75"/>
    <tableColumn id="4" xr3:uid="{93C95CE1-A795-4A68-A97E-81BCBA352CFD}" name="المتعدي" dataDxfId="74" totalsRowDxfId="73"/>
    <tableColumn id="5" xr3:uid="{341D82FC-FFA3-47FF-AE03-9FDF4159DA45}" name="التصنيف" dataDxfId="72" totalsRowDxfId="71"/>
    <tableColumn id="6" xr3:uid="{1304028C-ADFA-4315-B564-42CB2008BB32}" name="حالة التعدي " dataDxfId="70" totalsRowDxfId="69"/>
    <tableColumn id="7" xr3:uid="{1F9C1F99-F14B-4331-B394-FA66A6C2F4FE}" name="ملاحظات" totalsRowFunction="count" dataDxfId="68" totalsRowDxfId="67"/>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CABBC7-5B9E-4E1C-83CD-943AE68F58C1}" name="Table4" displayName="Table4" ref="A1:G47" totalsRowCount="1" headerRowDxfId="66" headerRowBorderDxfId="65" tableBorderDxfId="64" totalsRowBorderDxfId="63">
  <autoFilter ref="A1:G46" xr:uid="{D8CABBC7-5B9E-4E1C-83CD-943AE68F58C1}">
    <filterColumn colId="6">
      <filters>
        <filter val="نعم"/>
      </filters>
    </filterColumn>
  </autoFilter>
  <tableColumns count="7">
    <tableColumn id="1" xr3:uid="{F80F54AB-B8A7-484C-8B08-3CCBA2F88A77}" name="No" totalsRowFunction="countNums" totalsRowDxfId="62"/>
    <tableColumn id="2" xr3:uid="{A1467850-F333-4B0B-8B85-924DCB373DBC}" name="المدينة" totalsRowDxfId="61"/>
    <tableColumn id="3" xr3:uid="{C59F04A9-A1A9-4B9A-814E-A3DFC748359F}" name="رقم الارض" totalsRowDxfId="60"/>
    <tableColumn id="4" xr3:uid="{E85C7023-247D-4F89-9382-808235602B5F}" name="المتعدي" totalsRowDxfId="59"/>
    <tableColumn id="5" xr3:uid="{4F979B05-2781-4890-A37D-00602398C418}" name="التصنيف " totalsRowDxfId="58"/>
    <tableColumn id="6" xr3:uid="{EAFD4CFD-F873-483C-A334-80B75FEF3602}" name="حالة التعدي" totalsRowDxfId="57"/>
    <tableColumn id="7" xr3:uid="{2087823A-902A-4849-BA46-B930AA955426}" name="تم ارسال خطاب 2026" totalsRowDxfId="56"/>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C970DC-F4EE-4984-A5F6-39B599BA6C57}" name="Table3" displayName="Table3" ref="A1:G47" totalsRowCount="1" headerRowDxfId="55" headerRowBorderDxfId="54" tableBorderDxfId="53" totalsRowBorderDxfId="52">
  <autoFilter ref="A1:G46" xr:uid="{07C970DC-F4EE-4984-A5F6-39B599BA6C57}">
    <filterColumn colId="6">
      <customFilters>
        <customFilter operator="notEqual" val=" "/>
      </customFilters>
    </filterColumn>
  </autoFilter>
  <tableColumns count="7">
    <tableColumn id="1" xr3:uid="{42E910DA-0E14-40AD-9DBB-CA68FB30EEC5}" name="No" totalsRowLabel="Total"/>
    <tableColumn id="2" xr3:uid="{C499F04E-B971-4F59-95E5-11896554A1F0}" name="المدينة"/>
    <tableColumn id="3" xr3:uid="{228A975D-97AE-4177-8AD1-AE259001183A}" name="رقم الارض"/>
    <tableColumn id="4" xr3:uid="{C1F0F044-6384-4B21-82AC-A90DB5AAB3E2}" name="المتعدي"/>
    <tableColumn id="5" xr3:uid="{C82FEF46-450C-437C-ABCD-FF6257E9D4F4}" name="التصنيف "/>
    <tableColumn id="6" xr3:uid="{D0122219-FD46-4CED-9691-14DE2A2E073E}" name="حالة التعدي"/>
    <tableColumn id="8" xr3:uid="{B3972F64-2CD9-41FA-A96B-AF2E0AF713A2}" name="محضر معاينة" totalsRowFunction="count"/>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6AC4EEB-B9C6-4BF8-948C-9AE4BD010D52}" name="Table27" displayName="Table27" ref="A2:I57" totalsRowCount="1" headerRowDxfId="51" dataDxfId="49" headerRowBorderDxfId="50" tableBorderDxfId="48" totalsRowBorderDxfId="47">
  <autoFilter ref="A2:I56" xr:uid="{EA401C7D-F84C-4EA3-B107-1C26C3C40A90}">
    <filterColumn colId="6">
      <filters>
        <filter val="قائم"/>
      </filters>
    </filterColumn>
  </autoFilter>
  <sortState xmlns:xlrd2="http://schemas.microsoft.com/office/spreadsheetml/2017/richdata2" ref="A10:I56">
    <sortCondition ref="B2:B56"/>
  </sortState>
  <tableColumns count="9">
    <tableColumn id="1" xr3:uid="{A1431612-A46A-4BF9-8CB3-F143FEAC14AB}" name="No" totalsRowLabel="Total" dataDxfId="46" totalsRowDxfId="45"/>
    <tableColumn id="2" xr3:uid="{18670E18-820F-4A28-9AD1-95743352F7CB}" name="المدينة" totalsRowFunction="count" dataDxfId="44" totalsRowDxfId="43"/>
    <tableColumn id="3" xr3:uid="{88A7D20A-C7FF-4E8F-A773-01B439138089}" name="رقم الارض" totalsRowFunction="count" dataDxfId="42" totalsRowDxfId="41"/>
    <tableColumn id="4" xr3:uid="{2C3CA217-4C36-4306-84B0-D2BDB877F47F}" name="المتعدي" dataDxfId="40" totalsRowDxfId="39"/>
    <tableColumn id="5" xr3:uid="{630D1B37-1E30-4C9D-AA8A-5D76D8189CAC}" name="التصنيف " dataDxfId="38" totalsRowDxfId="37"/>
    <tableColumn id="9" xr3:uid="{C1C62A24-D043-4FD6-AE52-8E12BEB29510}" name="الإجراءات المطلوب تنفيذها  22-9-2026" dataDxfId="36" totalsRowDxfId="35"/>
    <tableColumn id="6" xr3:uid="{1330D7E2-E62E-4711-8504-3D3FCFBF2743}" name="حالة التعدي" dataDxfId="34" totalsRowDxfId="33"/>
    <tableColumn id="7" xr3:uid="{5D485C4C-6D46-48F5-AC55-3B72C01A6D6A}" name="رقم بلاغ الشرطة " dataDxfId="32" totalsRowDxfId="31"/>
    <tableColumn id="8" xr3:uid="{C8B90235-29A1-4E34-AAD3-F689BDEA27D7}" name="الإجراءات" totalsRowFunction="count" dataDxfId="30" totalsRowDxfId="29"/>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A0B2A9C-B0FB-4E55-8E89-FF46FBA99449}" name="Table9" displayName="Table9" ref="A3:D6" totalsRowShown="0" headerRowDxfId="28" headerRowBorderDxfId="27" tableBorderDxfId="26" totalsRowBorderDxfId="25">
  <autoFilter ref="A3:D6" xr:uid="{CA0B2A9C-B0FB-4E55-8E89-FF46FBA99449}"/>
  <tableColumns count="4">
    <tableColumn id="1" xr3:uid="{9CAE1AFA-D6E0-43FE-8271-9515C562784E}" name="No" dataDxfId="24"/>
    <tableColumn id="2" xr3:uid="{7CDFAA58-785E-4CDB-BB44-D4A60233004A}" name="المدينة" dataDxfId="23"/>
    <tableColumn id="3" xr3:uid="{57DE0F7F-2033-48BA-BF00-FA64BDBE1EB4}" name="رقم الارض" dataDxfId="22"/>
    <tableColumn id="4" xr3:uid="{DB9D1226-EDC1-49CA-8DF5-52863D4B7E2A}" name="المتعدي" dataDxfId="21"/>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3" dT="2026-08-20T08:02:06.25" personId="{C5F445F0-094B-4167-BEAB-66C7EE9BD000}" id="{BE299951-5725-4C5C-88A0-F0C9C5204633}">
    <text>تم تسجيل واقعة أيجارية</text>
  </threadedComment>
  <threadedComment ref="D3" dT="2026-08-20T08:02:23.30" personId="{C5F445F0-094B-4167-BEAB-66C7EE9BD000}" id="{374756F8-83B7-4B2D-AC22-2B07D9BEEB68}" parentId="{BE299951-5725-4C5C-88A0-F0C9C5204633}">
    <text>تم ارسالها إلى القانونية عن طريق الإيميل</text>
  </threadedComment>
  <threadedComment ref="D19" dT="2026-08-20T07:56:32.71" personId="{C5F445F0-094B-4167-BEAB-66C7EE9BD000}" id="{1DDF3E0F-DF80-45B3-96F3-84D295C3AA92}">
    <text>في انتظار تسجيل الواقعة الايجارية</text>
  </threadedComment>
  <threadedComment ref="D19" dT="2026-08-20T07:57:21.19" personId="{C5F445F0-094B-4167-BEAB-66C7EE9BD000}" id="{CDBEFA6E-EFD5-45CE-A63B-059E00F61FF7}" parentId="{1DDF3E0F-DF80-45B3-96F3-84D295C3AA92}">
    <text xml:space="preserve">لم يتم أتخاذ اي إجراء آخر في عام 2026 حتى الأن 
</text>
  </threadedComment>
  <threadedComment ref="D19" dT="2026-09-10T11:09:34.52" personId="{C5F445F0-094B-4167-BEAB-66C7EE9BD000}" id="{DA9C855E-A1B3-4DE3-B9F0-A5B54F5A3B7D}" parentId="{1DDF3E0F-DF80-45B3-96F3-84D295C3AA92}">
    <text xml:space="preserve">لن يتم تسجيلها كواقعة إيجارية بسبب شطب السجل- وسيتم تحويلها للقانونية </text>
  </threadedComment>
  <threadedComment ref="D20" dT="2026-08-20T08:43:21.72" personId="{C5F445F0-094B-4167-BEAB-66C7EE9BD000}" id="{B9EEC636-CE82-46F8-8716-D3CAE7D30BE5}">
    <text>بإنتظار تسجيلها كواقعة إيجارية</text>
  </threadedComment>
  <threadedComment ref="D20" dT="2026-09-29T06:32:09.74" personId="{C5F445F0-094B-4167-BEAB-66C7EE9BD000}" id="{B3925280-FDD5-42F3-ABA7-E1685BDA42F1}" parentId="{B9EEC636-CE82-46F8-8716-D3CAE7D30BE5}">
    <text>تم التسجيل</text>
  </threadedComment>
  <threadedComment ref="H20" dT="2026-09-15T07:36:03.76" personId="{C5F445F0-094B-4167-BEAB-66C7EE9BD000}" id="{288E42BA-1BF4-4B58-A9F2-9743B9D6FCCD}">
    <text>بانتظار التوثيق</text>
  </threadedComment>
  <threadedComment ref="H20" dT="2026-09-29T06:32:53.73" personId="{C5F445F0-094B-4167-BEAB-66C7EE9BD000}" id="{76899565-FCDB-4FF2-9151-F8BE496246D9}" parentId="{288E42BA-1BF4-4B58-A9F2-9743B9D6FCCD}">
    <text>تم التوثيق</text>
  </threadedComment>
  <threadedComment ref="D21" dT="2026-08-20T08:47:14.37" personId="{C5F445F0-094B-4167-BEAB-66C7EE9BD000}" id="{6003846F-4C10-4748-80D0-5FA42DB6CAF5}">
    <text>بإنتظار تسجيل  الواقعة الأيجارية</text>
  </threadedComment>
  <threadedComment ref="H21" dT="2026-09-15T07:36:10.46" personId="{C5F445F0-094B-4167-BEAB-66C7EE9BD000}" id="{FC704857-05D3-4121-ABEB-9B437728FF0A}">
    <text>30440523506</text>
  </threadedComment>
  <threadedComment ref="D22" dT="2026-08-20T08:44:49.13" personId="{C5F445F0-094B-4167-BEAB-66C7EE9BD000}" id="{38BAD3D1-1F15-4063-B1CA-C3D9A3058732}">
    <text>بانتظار تسجيل واقعة أيجارية</text>
  </threadedComment>
  <threadedComment ref="H22" dT="2026-09-15T07:36:30.35" personId="{C5F445F0-094B-4167-BEAB-66C7EE9BD000}" id="{E51F488E-B75A-493A-8844-9FB95D3F2CF6}">
    <text>بإنتظار رد القانونية على مسمى المؤسسة</text>
  </threadedComment>
  <threadedComment ref="D23" dT="2026-08-20T08:00:46.07" personId="{C5F445F0-094B-4167-BEAB-66C7EE9BD000}" id="{14EECC58-E0BF-4AAB-83D3-90B54A9E0B65}">
    <text>بانتظار التسجيل كواقعة أيجارية</text>
  </threadedComment>
  <threadedComment ref="D23" dT="2026-08-20T08:01:00.46" personId="{C5F445F0-094B-4167-BEAB-66C7EE9BD000}" id="{567E0B56-3B2F-463D-8A1C-EF8821A15180}" parentId="{14EECC58-E0BF-4AAB-83D3-90B54A9E0B65}">
    <text>لم يتم أتخاذ أجراء آخر 2026</text>
  </threadedComment>
  <threadedComment ref="D25" dT="2026-08-20T08:02:56.73" personId="{C5F445F0-094B-4167-BEAB-66C7EE9BD000}" id="{9EA620F8-54F3-4CF1-A64B-5670B5B0923D}">
    <text xml:space="preserve">تم تسجيل واقعة أيجارية بإسم الشخص وليس المؤسسة
</text>
  </threadedComment>
  <threadedComment ref="D25" dT="2026-08-20T08:03:15.46" personId="{C5F445F0-094B-4167-BEAB-66C7EE9BD000}" id="{B874164D-D925-4738-88BE-94D8EFB4A749}" parentId="{9EA620F8-54F3-4CF1-A64B-5670B5B0923D}">
    <text>بإنتظار تعديل الواقعة الإيجارية مع نفوذ</text>
  </threadedComment>
  <threadedComment ref="D25" dT="2026-09-10T07:25:31.99" personId="{C5F445F0-094B-4167-BEAB-66C7EE9BD000}" id="{F513E76D-0E1F-45C2-9757-060E232391E9}" parentId="{9EA620F8-54F3-4CF1-A64B-5670B5B0923D}">
    <text>تم ارسال المستخرج التجاري إلى القانونية بدلا من انشاء واقعة جديدية</text>
  </threadedComment>
  <threadedComment ref="D26" dT="2026-08-20T07:58:34.13" personId="{C5F445F0-094B-4167-BEAB-66C7EE9BD000}" id="{E4D7F26E-83AA-476E-99BE-E972AA190B99}">
    <text>تم تسجيل واقعة أيجارية وأرسالها للقانونية</text>
  </threadedComment>
  <threadedComment ref="M26" dT="2026-10-07T06:28:19.60" personId="{C5F445F0-094B-4167-BEAB-66C7EE9BD000}" id="{D739323B-8041-42E5-9B44-A8DDCC990076}">
    <text>تم الرد على الادارة القانونية أن السجل المسجل في الواقعة الايجارية صحيح</text>
  </threadedComment>
  <threadedComment ref="D27" dT="2026-08-20T08:05:09.89" personId="{C5F445F0-094B-4167-BEAB-66C7EE9BD000}" id="{3628CED3-68E6-439F-8078-AC7EE834FB6B}">
    <text>التاكد من القانونية بخصوص آخر المستجدات</text>
  </threadedComment>
  <threadedComment ref="D28" dT="2026-08-20T08:06:02.51" personId="{C5F445F0-094B-4167-BEAB-66C7EE9BD000}" id="{ECDFCF7D-7860-4F61-B636-22229B02C54D}">
    <text xml:space="preserve">التاكد من القانونية بخصوص آخر المستجدات
</text>
  </threadedComment>
  <threadedComment ref="E28" dT="2026-08-20T08:05:18.64" personId="{C5F445F0-094B-4167-BEAB-66C7EE9BD000}" id="{C366DBA5-F443-4C1E-93B1-3A6799A8C5F9}">
    <text xml:space="preserve">التاكد من القانونية بخصوص آخر المستجدات
</text>
  </threadedComment>
  <threadedComment ref="M29" dT="2026-10-07T07:42:00.32" personId="{C5F445F0-094B-4167-BEAB-66C7EE9BD000}" id="{685D9F34-DD77-444A-AA14-3DAED634B391}">
    <text>تم استلام الارض بتاريخ 27-9-2026</text>
  </threadedComment>
  <threadedComment ref="M31" dT="2026-10-07T06:29:58.64" personId="{C5F445F0-094B-4167-BEAB-66C7EE9BD000}" id="{FE24BAED-EEEE-4AE3-B917-B789D0C3E2C2}">
    <text>للتاكد من صحة الصك</text>
  </threadedComment>
  <threadedComment ref="M32" dT="2026-10-07T06:30:23.98" personId="{C5F445F0-094B-4167-BEAB-66C7EE9BD000}" id="{EBD35CFE-F584-49E0-8983-B25996F82999}">
    <text>لتاكد من صحة الصك</text>
  </threadedComment>
  <threadedComment ref="H33" dT="2026-09-15T06:37:24.59" personId="{C5F445F0-094B-4167-BEAB-66C7EE9BD000}" id="{1D49B399-A246-4E54-A970-F048A6A2C84D}">
    <text>بانتظار توثيق الواقعة</text>
  </threadedComment>
  <threadedComment ref="H33" dT="2026-10-15T07:12:57.44" personId="{C5F445F0-094B-4167-BEAB-66C7EE9BD000}" id="{3F0E4B8C-0BFB-449B-A704-06BACFA831A9}" parentId="{1D49B399-A246-4E54-A970-F048A6A2C84D}">
    <text>تم التوثيق</text>
  </threadedComment>
  <threadedComment ref="M34" dT="2026-10-07T06:31:16.59" personId="{C5F445F0-094B-4167-BEAB-66C7EE9BD000}" id="{4E573793-89AA-4915-BF23-6D79B2C7AF2D}">
    <text>لتعديل الصك</text>
  </threadedComment>
  <threadedComment ref="M35" dT="2026-10-07T06:31:39.23" personId="{C5F445F0-094B-4167-BEAB-66C7EE9BD000}" id="{0BC2E83D-7731-47DD-992A-C32D801EE381}">
    <text>لتعديل الصك</text>
  </threadedComment>
  <threadedComment ref="H36" dT="2026-09-15T06:36:32.63" personId="{C5F445F0-094B-4167-BEAB-66C7EE9BD000}" id="{EB9ABC0E-9E9A-4886-AEF5-24443F11454B}">
    <text>بإنتظار توثيق الواقعة</text>
  </threadedComment>
  <threadedComment ref="H36" dT="2026-09-29T06:30:58.81" personId="{C5F445F0-094B-4167-BEAB-66C7EE9BD000}" id="{E10290F1-09D5-4FBA-BD03-76DCE7943B64}" parentId="{EB9ABC0E-9E9A-4886-AEF5-24443F11454B}">
    <text xml:space="preserve">تم التوثيق 30934764079 </text>
  </threadedComment>
  <threadedComment ref="D38" dT="2026-08-20T08:08:42.78" personId="{C5F445F0-094B-4167-BEAB-66C7EE9BD000}" id="{34028D37-AD57-45A5-A980-C668974FEE4C}">
    <text xml:space="preserve">التاكد من القانونية بخصوص آخر المستجدات
</text>
  </threadedComment>
  <threadedComment ref="D39" dT="2026-08-20T08:08:51.78" personId="{C5F445F0-094B-4167-BEAB-66C7EE9BD000}" id="{2BE6D033-1968-4D2B-AFDB-394DBFB4A5E6}">
    <text xml:space="preserve">التاكد من القانونية بخصوص آخر المستجدات
</text>
  </threadedComment>
  <threadedComment ref="M45" dT="2026-10-07T06:35:25.82" personId="{C5F445F0-094B-4167-BEAB-66C7EE9BD000}" id="{07A95B54-67DA-4DD1-B14E-A358320D32D8}">
    <text>تم تعديل السجل التجاري عن طريق انشاء واقعة جديدية</text>
  </threadedComment>
  <threadedComment ref="D47" dT="2026-08-20T08:09:17.32" personId="{C5F445F0-094B-4167-BEAB-66C7EE9BD000}" id="{5F1F311B-198F-4FD1-BC75-62CD63F08904}">
    <text xml:space="preserve">التاكد من القانونية بخصوص آخر المستجدات
</text>
  </threadedComment>
  <threadedComment ref="M55" dT="2026-10-07T06:29:46.85" personId="{C5F445F0-094B-4167-BEAB-66C7EE9BD000}" id="{B349DF3C-B0E4-44A7-884F-74206CD24C59}">
    <text>لتاكد من صحة الصك</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6-09-22T07:41:12.78" personId="{C5F445F0-094B-4167-BEAB-66C7EE9BD000}" id="{F03BA9CC-A085-4402-B3FA-5A6285B98047}">
    <text>بلاغ للنيابة</text>
  </threadedComment>
  <threadedComment ref="D11" dT="2026-09-22T07:41:47.97" personId="{C5F445F0-094B-4167-BEAB-66C7EE9BD000}" id="{81CFE987-00CF-45F6-94A4-5CAD56715623}">
    <text>النيابة</text>
  </threadedComment>
  <threadedComment ref="D14" dT="2026-08-20T11:29:24.78" personId="{C5F445F0-094B-4167-BEAB-66C7EE9BD000}" id="{D5F9E967-ADCE-4F04-89BE-4D5F25DEB2F3}">
    <text>لا بد من أجراء</text>
  </threadedComment>
  <threadedComment ref="D14" dT="2026-09-10T07:37:21.18" personId="{C5F445F0-094B-4167-BEAB-66C7EE9BD000}" id="{3A84C1C3-8DB9-4E87-9720-A0D295D0DE07}" parentId="{D5F9E967-ADCE-4F04-89BE-4D5F25DEB2F3}">
    <text>تم اعداد مسودة خطاب وارسالها بتاريخ 6 شهر 9 2026</text>
  </threadedComment>
  <threadedComment ref="D14" dT="2026-09-22T07:20:16.07" personId="{C5F445F0-094B-4167-BEAB-66C7EE9BD000}" id="{F66689F6-5E77-49C7-9366-D6343F3F6FC3}" parentId="{D5F9E967-ADCE-4F04-89BE-4D5F25DEB2F3}">
    <text>خطاب لهيئة عقارات الدولة بالاحساء</text>
  </threadedComment>
  <threadedComment ref="D18" dT="2026-09-22T07:42:01.13" personId="{C5F445F0-094B-4167-BEAB-66C7EE9BD000}" id="{92F8B6C9-9298-44CC-8267-4A33D6A3A3A5}">
    <text>النيابة</text>
  </threadedComment>
  <threadedComment ref="D19" dT="2026-09-22T07:27:17.77" personId="{C5F445F0-094B-4167-BEAB-66C7EE9BD000}" id="{3465044C-287D-44FD-9D1B-1652A2110414}">
    <text>الاجراء الجديد - زيارة ميدانية وتقرير الحالة محمد السهيمي</text>
  </threadedComment>
  <threadedComment ref="D19" dT="2026-09-22T07:27:49.74" personId="{C5F445F0-094B-4167-BEAB-66C7EE9BD000}" id="{2D84387B-BA53-4828-8303-0215BC3C0614}" parentId="{3465044C-287D-44FD-9D1B-1652A2110414}">
    <text>الحاقي للادارة القانونية</text>
  </threadedComment>
  <threadedComment ref="D20" dT="2026-09-22T07:29:06.22" personId="{C5F445F0-094B-4167-BEAB-66C7EE9BD000}" id="{008D68AD-4897-46D7-BA66-23C1AC9B3829}">
    <text xml:space="preserve">لا يوجد تعدي من مساعد 
</text>
  </threadedComment>
  <threadedComment ref="D20" dT="2026-09-22T07:29:29.12" personId="{C5F445F0-094B-4167-BEAB-66C7EE9BD000}" id="{C7ECEB50-62C4-4CE3-BEF0-97CE85F386F5}" parentId="{008D68AD-4897-46D7-BA66-23C1AC9B3829}">
    <text>نرفع للنيابة إجراء جديد</text>
  </threadedComment>
  <threadedComment ref="D20" dT="2026-09-22T07:36:15.02" personId="{C5F445F0-094B-4167-BEAB-66C7EE9BD000}" id="{73857BAE-A0E1-4BEE-8329-50252E822749}" parentId="{008D68AD-4897-46D7-BA66-23C1AC9B3829}">
    <text>لا يتم التقديم على مساعد العنقري</text>
  </threadedComment>
  <threadedComment ref="D21" dT="2026-09-22T07:18:12.97" personId="{C5F445F0-094B-4167-BEAB-66C7EE9BD000}" id="{BE0565A0-00DC-4C02-BB99-3EBABD09BEB6}">
    <text>نخاطب الاوقاف</text>
  </threadedComment>
  <threadedComment ref="D22" dT="2026-09-22T07:18:29.94" personId="{C5F445F0-094B-4167-BEAB-66C7EE9BD000}" id="{2FDBE4D3-E4B6-4803-9E48-C7E4A7923AE5}">
    <text>خطاب للاوقاف</text>
  </threadedComment>
  <threadedComment ref="D24" dT="2026-09-22T07:30:51.25" personId="{C5F445F0-094B-4167-BEAB-66C7EE9BD000}" id="{70BC2077-31DE-4ECB-9914-C0B976BFD4CA}">
    <text>انتظار رد لامارة</text>
  </threadedComment>
  <threadedComment ref="D25" dT="2026-08-20T11:31:33.55" personId="{C5F445F0-094B-4167-BEAB-66C7EE9BD000}" id="{27F09AE8-7425-41BF-A979-6AA9DC336C33}">
    <text xml:space="preserve">لا بد من إجراء </text>
  </threadedComment>
  <threadedComment ref="D25" dT="2026-09-22T07:14:25.68" personId="{C5F445F0-094B-4167-BEAB-66C7EE9BD000}" id="{4C90D9E6-B095-453B-A2D6-2FA670198B33}" parentId="{27F09AE8-7425-41BF-A979-6AA9DC336C33}">
    <text>نرفع للنيابة بلاغ</text>
  </threadedComment>
  <threadedComment ref="D28" dT="2026-09-22T07:31:06.65" personId="{C5F445F0-094B-4167-BEAB-66C7EE9BD000}" id="{716C8D69-4C68-43DB-8C66-45E137F1F7C7}">
    <text>انتظار رد الامارة</text>
  </threadedComment>
  <threadedComment ref="D34" dT="2026-08-20T11:33:50.13" personId="{C5F445F0-094B-4167-BEAB-66C7EE9BD000}" id="{22AC9F06-E4FC-407E-B10A-D9AB6C27B017}">
    <text>لا بد من اجراء</text>
  </threadedComment>
  <threadedComment ref="D34" dT="2026-09-10T08:06:52.40" personId="{C5F445F0-094B-4167-BEAB-66C7EE9BD000}" id="{EA727016-42A2-4835-B230-9A463A559C07}" parentId="{22AC9F06-E4FC-407E-B10A-D9AB6C27B017}">
    <text>تم ارسال مسودة خطاب6 من شهر 9 2026</text>
  </threadedComment>
  <threadedComment ref="D34" dT="2026-09-20T09:01:39.14" personId="{C5F445F0-094B-4167-BEAB-66C7EE9BD000}" id="{5EE1559B-3552-481A-8E16-94296410BA0B}" parentId="{22AC9F06-E4FC-407E-B10A-D9AB6C27B017}">
    <text>تغير صيغة الخطاب  - إلى الأمين</text>
  </threadedComment>
  <threadedComment ref="D34" dT="2026-09-22T07:16:42.60" personId="{C5F445F0-094B-4167-BEAB-66C7EE9BD000}" id="{A6BC3FF5-B732-4FFD-B933-E3AB4A7501FA}" parentId="{22AC9F06-E4FC-407E-B10A-D9AB6C27B017}">
    <text>بلاغ للنيابه</text>
  </threadedComment>
  <threadedComment ref="D35" dT="2026-08-20T11:34:21.07" personId="{C5F445F0-094B-4167-BEAB-66C7EE9BD000}" id="{289A728C-6F45-4B9D-978A-D4E812F2809D}">
    <text>لا بد من اجراء</text>
  </threadedComment>
  <threadedComment ref="D35" dT="2026-09-10T08:31:49.11" personId="{C5F445F0-094B-4167-BEAB-66C7EE9BD000}" id="{A8F3A804-6B3E-4129-9872-20F99525A7FF}" parentId="{289A728C-6F45-4B9D-978A-D4E812F2809D}">
    <text xml:space="preserve">تم ارسال ايميل لطلب احداثيات </text>
  </threadedComment>
  <threadedComment ref="D35" dT="2026-09-20T09:02:59.39" personId="{C5F445F0-094B-4167-BEAB-66C7EE9BD000}" id="{24EBADF8-EF46-4CA4-93E8-27E2D0D83A00}" parentId="{289A728C-6F45-4B9D-978A-D4E812F2809D}">
    <text xml:space="preserve">صدور خطاب للهيئة - ابو حمد </text>
  </threadedComment>
  <threadedComment ref="D35" dT="2026-09-22T07:15:52.53" personId="{C5F445F0-094B-4167-BEAB-66C7EE9BD000}" id="{29FC24B1-1EE5-42DB-BFB1-9CC3C34ED1DC}" parentId="{289A728C-6F45-4B9D-978A-D4E812F2809D}">
    <text>نرفع للنيابة</text>
  </threadedComment>
  <threadedComment ref="D46" dT="2026-09-22T07:32:51.65" personId="{C5F445F0-094B-4167-BEAB-66C7EE9BD000}" id="{AB7159ED-CCC1-4F1A-B598-D7DABC936C31}">
    <text xml:space="preserve">انتظار الواقعة الايجارية </text>
  </threadedComment>
  <threadedComment ref="F46" dT="2026-10-18T06:38:59.17" personId="{C5F445F0-094B-4167-BEAB-66C7EE9BD000}" id="{DB63CF03-0B04-4137-AE9E-EF91BC04B8AE}">
    <text xml:space="preserve">سيتم تحويل الواقعة الإيجارية إلى الإدارة القانونية </text>
  </threadedComment>
  <threadedComment ref="D47" dT="2026-08-20T11:16:04.46" personId="{C5F445F0-094B-4167-BEAB-66C7EE9BD000}" id="{42ED800D-FA13-4316-972F-3BEFA0D27AA2}">
    <text>في اطار تصدير خطاب  للمحكمة بخصوص التعدي</text>
  </threadedComment>
  <threadedComment ref="D47" dT="2026-09-10T08:36:26.17" personId="{C5F445F0-094B-4167-BEAB-66C7EE9BD000}" id="{7C18EA52-AFE8-4FDD-A0B1-A0B1B4895158}" parentId="{42ED800D-FA13-4316-972F-3BEFA0D27AA2}">
    <text>تم ارسال الخطاب</text>
  </threadedComment>
  <threadedComment ref="D48" dT="2026-08-20T11:36:37.35" personId="{C5F445F0-094B-4167-BEAB-66C7EE9BD000}" id="{636B82D6-4238-40AB-8C8E-CEE93B427313}">
    <text>لابد من اجراء</text>
  </threadedComment>
  <threadedComment ref="D48" dT="2026-09-10T11:02:19.23" personId="{C5F445F0-094B-4167-BEAB-66C7EE9BD000}" id="{7780A045-51D5-4040-8BF7-8834AE9C6430}" parentId="{636B82D6-4238-40AB-8C8E-CEE93B427313}">
    <text>تم إعداد تقرير إزالة بالاضافة لخطاب تغطية</text>
  </threadedComment>
  <threadedComment ref="D48" dT="2026-09-20T09:03:30.09" personId="{C5F445F0-094B-4167-BEAB-66C7EE9BD000}" id="{FAEC4EAC-CA79-4DA3-B3A8-A617CB3643DA}" parentId="{636B82D6-4238-40AB-8C8E-CEE93B427313}">
    <text>تغير صيغة الخطاب - بدون تقرير إزالة</text>
  </threadedComment>
  <threadedComment ref="D49" dT="2026-09-10T11:04:09.03" personId="{C5F445F0-094B-4167-BEAB-66C7EE9BD000}" id="{E35A8A0A-784A-4038-A0B9-C727BCA0C972}">
    <text>الحاقي للهيئة</text>
  </threadedComment>
  <threadedComment ref="D50" dT="2026-08-20T11:20:57.73" personId="{C5F445F0-094B-4167-BEAB-66C7EE9BD000}" id="{EBFE378F-3C7A-4539-A09E-21894FEAC896}">
    <text>تم ارسال ايميل للزملاء بخصوص ارسال صور واحداثيات التعدي</text>
  </threadedComment>
  <threadedComment ref="D50" dT="2026-09-10T11:04:30.37" personId="{C5F445F0-094B-4167-BEAB-66C7EE9BD000}" id="{36C9FFDD-D635-41B5-9D6A-C9B1DF844201}" parentId="{EBFE378F-3C7A-4539-A09E-21894FEAC896}">
    <text>تم إعداد مسودة وفي طور المراجعة</text>
  </threadedComment>
  <threadedComment ref="D51" dT="2026-09-22T07:34:19.70" personId="{C5F445F0-094B-4167-BEAB-66C7EE9BD000}" id="{016C8F0C-F863-4470-B297-BF16CE3C4109}">
    <text>الحاق</text>
  </threadedComment>
  <threadedComment ref="D54" dT="2026-08-20T08:59:10.98" personId="{C5F445F0-094B-4167-BEAB-66C7EE9BD000}" id="{07859195-E0C6-444D-885E-6B0AACE83365}">
    <text>تم الاتصال بأبو حمد من قبلهم وطلبوا تحديد موعد اجتماع ويقولون انهم مستأجرين أرض</text>
  </threadedComment>
  <threadedComment ref="D54" dT="2026-09-22T07:43:16.12" personId="{C5F445F0-094B-4167-BEAB-66C7EE9BD000}" id="{1C94E4D6-E102-4487-B8DB-A64A64CA0E64}" parentId="{07859195-E0C6-444D-885E-6B0AACE83365}">
    <text>بلاغ للنيابة</text>
  </threadedComment>
  <threadedComment ref="D55" dT="2026-08-20T11:28:21.18" personId="{C5F445F0-094B-4167-BEAB-66C7EE9BD000}" id="{F1FDB0FA-A644-473E-9821-1F6D5CB3790F}">
    <text>تم ارسال خطاب لرئيس لجنة التعديات وتم الافادة من الامارة لابد من توجيه الخطاب للمحافظ</text>
  </threadedComment>
  <threadedComment ref="D55" dT="2026-09-22T07:34:57.09" personId="{C5F445F0-094B-4167-BEAB-66C7EE9BD000}" id="{A74CF82B-795E-4D22-8F6D-7546127F31EF}" parentId="{F1FDB0FA-A644-473E-9821-1F6D5CB3790F}">
    <text>نرفع بلاغ للنيابة</text>
  </threadedComment>
</ThreadedComments>
</file>

<file path=xl/threadedComments/threadedComment3.xml><?xml version="1.0" encoding="utf-8"?>
<ThreadedComments xmlns="http://schemas.microsoft.com/office/spreadsheetml/2018/threadedcomments" xmlns:x="http://schemas.openxmlformats.org/spreadsheetml/2006/main">
  <threadedComment ref="D6" dT="2026-08-20T07:58:34.13" personId="{C5F445F0-094B-4167-BEAB-66C7EE9BD000}" id="{300A79E0-257C-4030-97D3-B10A9C8D6C30}">
    <text>تم تسجيل واقعة أيجارية وأرسالها للقانونية</text>
  </threadedComment>
  <threadedComment ref="G7" dT="2026-09-15T06:37:24.59" personId="{C5F445F0-094B-4167-BEAB-66C7EE9BD000}" id="{FF9F8B19-F095-458A-82C6-92F80E105C9A}">
    <text>بانتظار توثيق الواقعة</text>
  </threadedComment>
  <threadedComment ref="G21" dT="2026-09-15T06:36:32.63" personId="{C5F445F0-094B-4167-BEAB-66C7EE9BD000}" id="{BD0AB17C-3AF1-426F-92BA-16087966EA0E}">
    <text>بإنتظار توثيق الواقعة</text>
  </threadedComment>
  <threadedComment ref="D25" dT="2026-08-20T08:00:46.07" personId="{C5F445F0-094B-4167-BEAB-66C7EE9BD000}" id="{194A29D0-B7FD-479F-A45D-B628095E78E6}">
    <text>بانتظار التسجيل كواقعة أيجارية</text>
  </threadedComment>
  <threadedComment ref="D25" dT="2026-08-20T08:01:00.46" personId="{C5F445F0-094B-4167-BEAB-66C7EE9BD000}" id="{5AD0BF4D-78BB-49DD-9A97-D27609F9C0A5}" parentId="{194A29D0-B7FD-479F-A45D-B628095E78E6}">
    <text>لم يتم أتخاذ أجراء آخر 2026</text>
  </threadedComment>
  <threadedComment ref="D27" dT="2026-08-20T08:02:56.73" personId="{C5F445F0-094B-4167-BEAB-66C7EE9BD000}" id="{0E57219D-0A95-423B-AD27-2127C58DC005}">
    <text xml:space="preserve">تم تسجيل واقعة أيجارية بإسم الشخص وليس المؤسسة
</text>
  </threadedComment>
  <threadedComment ref="D27" dT="2026-08-20T08:03:15.46" personId="{C5F445F0-094B-4167-BEAB-66C7EE9BD000}" id="{25607EAE-44DB-49FF-A6BB-4C8A7E72DDB0}" parentId="{0E57219D-0A95-423B-AD27-2127C58DC005}">
    <text>بإنتظار تعديل الواقعة الإيجارية مع نفوذ</text>
  </threadedComment>
  <threadedComment ref="D27" dT="2026-09-10T07:25:31.99" personId="{C5F445F0-094B-4167-BEAB-66C7EE9BD000}" id="{04161BB8-745B-4E1D-A298-3E7D1D029D28}" parentId="{0E57219D-0A95-423B-AD27-2127C58DC005}">
    <text>تم ارسال المستخرج التجاري إلى القانونية بدلا من انشاء واقعة جديدية</text>
  </threadedComment>
  <threadedComment ref="D37" dT="2026-08-20T08:05:09.89" personId="{C5F445F0-094B-4167-BEAB-66C7EE9BD000}" id="{DF38E6A1-2C24-4FF3-A907-53497E03DAF4}">
    <text>التاكد من القانونية بخصوص آخر المستجدات</text>
  </threadedComment>
  <threadedComment ref="D38" dT="2026-08-20T08:06:02.51" personId="{C5F445F0-094B-4167-BEAB-66C7EE9BD000}" id="{948D11BA-3140-45D0-B290-B4D448FFC450}">
    <text xml:space="preserve">التاكد من القانونية بخصوص آخر المستجدات
</text>
  </threadedComment>
  <threadedComment ref="E38" dT="2026-08-20T08:05:18.64" personId="{C5F445F0-094B-4167-BEAB-66C7EE9BD000}" id="{08875A5D-46B2-4E58-84CA-60006A475DCC}">
    <text xml:space="preserve">التاكد من القانونية بخصوص آخر المستجدات
</text>
  </threadedComment>
  <threadedComment ref="D39" dT="2026-08-20T08:08:42.78" personId="{C5F445F0-094B-4167-BEAB-66C7EE9BD000}" id="{9F792E6C-7783-4850-B075-888C4CB52FF4}">
    <text xml:space="preserve">التاكد من القانونية بخصوص آخر المستجدات
</text>
  </threadedComment>
  <threadedComment ref="D40" dT="2026-08-20T08:08:51.78" personId="{C5F445F0-094B-4167-BEAB-66C7EE9BD000}" id="{1F01EFE4-E58D-4614-9826-88757A952E76}">
    <text xml:space="preserve">التاكد من القانونية بخصوص آخر المستجدات
</text>
  </threadedComment>
  <threadedComment ref="D41" dT="2026-08-20T08:09:17.32" personId="{C5F445F0-094B-4167-BEAB-66C7EE9BD000}" id="{B11434C3-7CC7-4278-B0B8-4FBA5A7E2836}">
    <text xml:space="preserve">التاكد من القانونية بخصوص آخر المستجدات
</text>
  </threadedComment>
</ThreadedComments>
</file>

<file path=xl/threadedComments/threadedComment4.xml><?xml version="1.0" encoding="utf-8"?>
<ThreadedComments xmlns="http://schemas.microsoft.com/office/spreadsheetml/2018/threadedcomments" xmlns:x="http://schemas.openxmlformats.org/spreadsheetml/2006/main">
  <threadedComment ref="D3" dT="2026-08-20T11:29:24.78" personId="{C5F445F0-094B-4167-BEAB-66C7EE9BD000}" id="{07CDDE93-E2DB-4C40-973B-D4B8FE9857A7}">
    <text>لا بد من أجراء</text>
  </threadedComment>
  <threadedComment ref="D14" dT="2026-08-20T11:31:33.55" personId="{C5F445F0-094B-4167-BEAB-66C7EE9BD000}" id="{11979213-D816-4FE3-9781-E2D89D7E6176}">
    <text xml:space="preserve">لا بد من إجراء </text>
  </threadedComment>
  <threadedComment ref="D23" dT="2026-08-20T11:33:50.13" personId="{C5F445F0-094B-4167-BEAB-66C7EE9BD000}" id="{2D774A68-F4CD-4BCE-9592-AFEAD0EFAE77}">
    <text>لا بد من اجراء</text>
  </threadedComment>
  <threadedComment ref="D24" dT="2026-08-20T11:34:21.07" personId="{C5F445F0-094B-4167-BEAB-66C7EE9BD000}" id="{E7F8DB59-99B7-4718-93DA-33F055DE63CA}">
    <text>لا بد من اجراء</text>
  </threadedComment>
  <threadedComment ref="D31" dT="2026-08-20T08:59:10.98" personId="{C5F445F0-094B-4167-BEAB-66C7EE9BD000}" id="{00606C1F-49A0-41A3-B810-BFC58FDC32C5}">
    <text>تم الاتصال بأبو حمد من قبلهم وطلبوا تحديد موعد اجتماع ويقولون انهم مستأجرين أرض</text>
  </threadedComment>
  <threadedComment ref="D36" dT="2026-08-20T11:16:04.46" personId="{C5F445F0-094B-4167-BEAB-66C7EE9BD000}" id="{A47F6173-D02D-4F3F-BBB6-065BFEAB7A30}">
    <text>في اطار تصدير خطاب  للمحكمة بخصوص التعدي</text>
  </threadedComment>
  <threadedComment ref="D37" dT="2026-08-20T11:36:37.35" personId="{C5F445F0-094B-4167-BEAB-66C7EE9BD000}" id="{53E0E23E-6282-4A95-B187-191168C91480}">
    <text>لابد من اجراء</text>
  </threadedComment>
  <threadedComment ref="D39" dT="2026-08-20T11:20:57.73" personId="{C5F445F0-094B-4167-BEAB-66C7EE9BD000}" id="{D679F10B-E27F-47B1-A257-0AE7D29593A2}">
    <text>تم ارسال ايميل للزملاء بخصوص ارسال صور واحداثيات التعدي</text>
  </threadedComment>
  <threadedComment ref="D44" dT="2026-08-20T11:28:21.18" personId="{C5F445F0-094B-4167-BEAB-66C7EE9BD000}" id="{3D710C5B-B72B-4C11-97B2-A0DECAB74BC2}">
    <text>تم ارسال خطاب لرئيس لجنة التعديات وتم الافادة من الامارة لابد من توجيه الخطاب للمحافظ</text>
  </threadedComment>
</ThreadedComments>
</file>

<file path=xl/threadedComments/threadedComment5.xml><?xml version="1.0" encoding="utf-8"?>
<ThreadedComments xmlns="http://schemas.microsoft.com/office/spreadsheetml/2018/threadedcomments" xmlns:x="http://schemas.openxmlformats.org/spreadsheetml/2006/main">
  <threadedComment ref="D3" dT="2026-08-20T11:29:24.78" personId="{C5F445F0-094B-4167-BEAB-66C7EE9BD000}" id="{E0851DCC-0BAC-4910-931D-D86F67E36F99}">
    <text>لا بد من أجراء</text>
  </threadedComment>
  <threadedComment ref="D14" dT="2026-08-20T11:31:33.55" personId="{C5F445F0-094B-4167-BEAB-66C7EE9BD000}" id="{686BCA6E-2105-4736-B1E1-D5BDB0043EC7}">
    <text xml:space="preserve">لا بد من إجراء </text>
  </threadedComment>
  <threadedComment ref="D23" dT="2026-08-20T11:33:50.13" personId="{C5F445F0-094B-4167-BEAB-66C7EE9BD000}" id="{A6CD58E1-CB38-4D47-907D-E139B1B834EE}">
    <text>لا بد من اجراء</text>
  </threadedComment>
  <threadedComment ref="D24" dT="2026-08-20T11:34:21.07" personId="{C5F445F0-094B-4167-BEAB-66C7EE9BD000}" id="{4E7B89DD-1803-47EF-92C1-37629ACC27CE}">
    <text>لا بد من اجراء</text>
  </threadedComment>
  <threadedComment ref="D31" dT="2026-08-20T08:59:10.98" personId="{C5F445F0-094B-4167-BEAB-66C7EE9BD000}" id="{432C5EE2-0BC3-4057-A45F-7D85F6368B13}">
    <text>تم الاتصال بأبو حمد من قبلهم وطلبوا تحديد موعد اجتماع ويقولون انهم مستأجرين أرض</text>
  </threadedComment>
  <threadedComment ref="D36" dT="2026-08-20T11:16:04.46" personId="{C5F445F0-094B-4167-BEAB-66C7EE9BD000}" id="{DD19C923-FCA0-4EB7-9047-46285C858EF6}">
    <text>في اطار تصدير خطاب  للمحكمة بخصوص التعدي</text>
  </threadedComment>
  <threadedComment ref="D37" dT="2026-08-20T11:36:37.35" personId="{C5F445F0-094B-4167-BEAB-66C7EE9BD000}" id="{979A5B2D-63D5-4086-88C1-F34E9559278C}">
    <text>لابد من اجراء</text>
  </threadedComment>
  <threadedComment ref="D39" dT="2026-08-20T11:20:57.73" personId="{C5F445F0-094B-4167-BEAB-66C7EE9BD000}" id="{696DF0DF-B3D8-4F0D-8279-3F8C457E79DB}">
    <text>تم ارسال ايميل للزملاء بخصوص ارسال صور واحداثيات التعدي</text>
  </threadedComment>
  <threadedComment ref="D44" dT="2026-08-20T11:28:21.18" personId="{C5F445F0-094B-4167-BEAB-66C7EE9BD000}" id="{F45B5C29-31B9-4331-B3CD-FC0AB34AFAE5}">
    <text>تم ارسال خطاب لرئيس لجنة التعديات وتم الافادة من الامارة لابد من توجيه الخطاب للمحافظ</text>
  </threadedComment>
</ThreadedComments>
</file>

<file path=xl/threadedComments/threadedComment6.xml><?xml version="1.0" encoding="utf-8"?>
<ThreadedComments xmlns="http://schemas.microsoft.com/office/spreadsheetml/2018/threadedcomments" xmlns:x="http://schemas.openxmlformats.org/spreadsheetml/2006/main">
  <threadedComment ref="D14" dT="2026-08-20T11:16:04.46" personId="{C5F445F0-094B-4167-BEAB-66C7EE9BD000}" id="{430133F3-C7A8-4C7D-B8D1-D620554D4D61}">
    <text>في اطار تصدير خطاب  للمحكمة بخصوص التعدي</text>
  </threadedComment>
  <threadedComment ref="D14" dT="2026-09-10T08:36:26.17" personId="{C5F445F0-094B-4167-BEAB-66C7EE9BD000}" id="{B0A21104-962D-4049-A730-310BC66C3838}" parentId="{430133F3-C7A8-4C7D-B8D1-D620554D4D61}">
    <text>تم ارسال الخطاب</text>
  </threadedComment>
  <threadedComment ref="D15" dT="2026-09-10T11:04:09.03" personId="{C5F445F0-094B-4167-BEAB-66C7EE9BD000}" id="{86DEEB6B-3508-4E68-8268-CC42E12E5A66}">
    <text>الحاقي للهيئة</text>
  </threadedComment>
  <threadedComment ref="D16" dT="2026-08-20T11:20:57.73" personId="{C5F445F0-094B-4167-BEAB-66C7EE9BD000}" id="{27A38973-80C8-43D4-9AA2-5844669E49D6}">
    <text>تم ارسال ايميل للزملاء بخصوص ارسال صور واحداثيات التعدي</text>
  </threadedComment>
  <threadedComment ref="D16" dT="2026-09-10T11:04:30.37" personId="{C5F445F0-094B-4167-BEAB-66C7EE9BD000}" id="{3A40E645-D364-4D7D-8C11-FA23FCDBFC57}" parentId="{27A38973-80C8-43D4-9AA2-5844669E49D6}">
    <text>تم إعداد مسودة وفي طور المراجعة</text>
  </threadedComment>
  <threadedComment ref="D17" dT="2026-08-20T11:31:33.55" personId="{C5F445F0-094B-4167-BEAB-66C7EE9BD000}" id="{5CCF6942-A7AB-4B09-B6F6-56A290459130}">
    <text xml:space="preserve">لا بد من إجراء </text>
  </threadedComment>
  <threadedComment ref="D17" dT="2026-09-22T07:14:25.68" personId="{C5F445F0-094B-4167-BEAB-66C7EE9BD000}" id="{345092AD-9662-4204-B239-05BE37AAA4A4}" parentId="{5CCF6942-A7AB-4B09-B6F6-56A290459130}">
    <text>نرفع للنيابة بلاغ</text>
  </threadedComment>
  <threadedComment ref="D19" dT="2026-09-22T07:27:17.77" personId="{C5F445F0-094B-4167-BEAB-66C7EE9BD000}" id="{928A7D46-1E97-4CAA-BC25-180E3BFC5EF0}">
    <text>الاجراء الجديد - زيارة ميدانية وتقرير الحالة محمد السهيمي</text>
  </threadedComment>
  <threadedComment ref="D19" dT="2026-09-22T07:27:49.74" personId="{C5F445F0-094B-4167-BEAB-66C7EE9BD000}" id="{48B95F66-F59E-4FD7-8D4B-238256BF55A5}" parentId="{928A7D46-1E97-4CAA-BC25-180E3BFC5EF0}">
    <text>الحاقي للادارة القانونية</text>
  </threadedComment>
  <threadedComment ref="D20" dT="2026-09-22T07:29:06.22" personId="{C5F445F0-094B-4167-BEAB-66C7EE9BD000}" id="{AE400E38-70A7-4FF0-A0A4-75098CCDE930}">
    <text xml:space="preserve">لا يوجد تعدي من مساعد 
</text>
  </threadedComment>
  <threadedComment ref="D20" dT="2026-09-22T07:29:29.12" personId="{C5F445F0-094B-4167-BEAB-66C7EE9BD000}" id="{9C9FD268-11ED-494B-BE94-FD959BED4FC7}" parentId="{AE400E38-70A7-4FF0-A0A4-75098CCDE930}">
    <text>نرفع للنيابة إجراء جديد</text>
  </threadedComment>
  <threadedComment ref="D20" dT="2026-09-22T07:36:15.02" personId="{C5F445F0-094B-4167-BEAB-66C7EE9BD000}" id="{99AF2D22-A53F-4B9D-85F6-40D0AB14784B}" parentId="{AE400E38-70A7-4FF0-A0A4-75098CCDE930}">
    <text>لا يتم التقديم على مساعد العنقري</text>
  </threadedComment>
  <threadedComment ref="D21" dT="2026-09-22T07:30:51.25" personId="{C5F445F0-094B-4167-BEAB-66C7EE9BD000}" id="{FBA4CBF2-80DA-42B9-8035-B6D65539E30E}">
    <text>انتظار رد لامارة</text>
  </threadedComment>
  <threadedComment ref="D22" dT="2026-09-22T07:31:06.65" personId="{C5F445F0-094B-4167-BEAB-66C7EE9BD000}" id="{2E5AB59D-57FB-4808-BEED-64BC6EFD4398}">
    <text>انتظار رد الامارة</text>
  </threadedComment>
  <threadedComment ref="D31" dT="2026-09-22T07:32:51.65" personId="{C5F445F0-094B-4167-BEAB-66C7EE9BD000}" id="{0116DF29-7794-4DD2-BE57-CF95BB75636E}">
    <text xml:space="preserve">انتظار الواقعة الايجارية </text>
  </threadedComment>
  <threadedComment ref="D32" dT="2026-09-22T07:34:19.70" personId="{C5F445F0-094B-4167-BEAB-66C7EE9BD000}" id="{4913BD45-4D1B-47D7-BAD7-7C56813AB968}">
    <text>الحاق</text>
  </threadedComment>
  <threadedComment ref="D33" dT="2026-08-20T11:28:21.18" personId="{C5F445F0-094B-4167-BEAB-66C7EE9BD000}" id="{0BD368A0-6902-4791-B315-18FB8D794452}">
    <text>تم ارسال خطاب لرئيس لجنة التعديات وتم الافادة من الامارة لابد من توجيه الخطاب للمحافظ</text>
  </threadedComment>
  <threadedComment ref="D33" dT="2026-09-22T07:34:57.09" personId="{C5F445F0-094B-4167-BEAB-66C7EE9BD000}" id="{1C363D97-18BB-4C1B-B64B-D3F9F84DEEBC}" parentId="{0BD368A0-6902-4791-B315-18FB8D794452}">
    <text>نرفع بلاغ للنيابة</text>
  </threadedComment>
  <threadedComment ref="D35" dT="2026-09-22T07:41:12.78" personId="{C5F445F0-094B-4167-BEAB-66C7EE9BD000}" id="{E99A76E4-7472-4F87-A680-975B4DC9529D}">
    <text>بلاغ للنيابة</text>
  </threadedComment>
  <threadedComment ref="D36" dT="2026-09-22T07:41:47.97" personId="{C5F445F0-094B-4167-BEAB-66C7EE9BD000}" id="{6B54ED72-6974-4852-8CC1-48B785D57F60}">
    <text>النيابة</text>
  </threadedComment>
  <threadedComment ref="D38" dT="2026-09-22T07:42:01.13" personId="{C5F445F0-094B-4167-BEAB-66C7EE9BD000}" id="{25CDE971-772F-4F45-93BE-94A847734401}">
    <text>النيابة</text>
  </threadedComment>
  <threadedComment ref="D45" dT="2026-08-20T08:59:10.98" personId="{C5F445F0-094B-4167-BEAB-66C7EE9BD000}" id="{D5964D2D-1C2E-4C20-93D0-19E3F706B9D0}">
    <text>تم الاتصال بأبو حمد من قبلهم وطلبوا تحديد موعد اجتماع ويقولون انهم مستأجرين أرض</text>
  </threadedComment>
  <threadedComment ref="D45" dT="2026-09-22T07:43:16.12" personId="{C5F445F0-094B-4167-BEAB-66C7EE9BD000}" id="{4BCC33EE-82E8-493E-B4F2-CD782C5E6D02}" parentId="{D5964D2D-1C2E-4C20-93D0-19E3F706B9D0}">
    <text>بلاغ للنيابة</text>
  </threadedComment>
  <threadedComment ref="D46" dT="2026-08-20T11:29:24.78" personId="{C5F445F0-094B-4167-BEAB-66C7EE9BD000}" id="{64B05414-F75B-4A10-BCD2-502ED9D0F987}">
    <text>لا بد من أجراء</text>
  </threadedComment>
  <threadedComment ref="D46" dT="2026-09-10T07:37:21.18" personId="{C5F445F0-094B-4167-BEAB-66C7EE9BD000}" id="{317FE763-EFB6-4546-994D-D6F0E06B0B4E}" parentId="{64B05414-F75B-4A10-BCD2-502ED9D0F987}">
    <text>تم اعداد مسودة خطاب وارسالها بتاريخ 6 شهر 9 2026</text>
  </threadedComment>
  <threadedComment ref="D46" dT="2026-09-22T07:20:16.07" personId="{C5F445F0-094B-4167-BEAB-66C7EE9BD000}" id="{97618BFE-C8F6-47C5-84B1-4A3E9E73A56E}" parentId="{64B05414-F75B-4A10-BCD2-502ED9D0F987}">
    <text>خطاب لهيئة عقارات الدولة بالاحساء</text>
  </threadedComment>
  <threadedComment ref="D48" dT="2026-09-22T07:18:12.97" personId="{C5F445F0-094B-4167-BEAB-66C7EE9BD000}" id="{B2F5A4E6-9450-4048-A69F-C0078F4E7FA1}">
    <text>نخاطب الاوقاف</text>
  </threadedComment>
  <threadedComment ref="D49" dT="2026-09-22T07:18:29.94" personId="{C5F445F0-094B-4167-BEAB-66C7EE9BD000}" id="{91BEA8AB-E695-4F93-B6AF-066667F7580E}">
    <text>خطاب للاوقاف</text>
  </threadedComment>
  <threadedComment ref="D51" dT="2026-08-20T11:33:50.13" personId="{C5F445F0-094B-4167-BEAB-66C7EE9BD000}" id="{A2DB0723-797B-4A94-B1F0-6F3031140855}">
    <text>لا بد من اجراء</text>
  </threadedComment>
  <threadedComment ref="D51" dT="2026-09-10T08:06:52.40" personId="{C5F445F0-094B-4167-BEAB-66C7EE9BD000}" id="{BC753AD9-F4AE-4468-86F6-6EB5527F6A84}" parentId="{A2DB0723-797B-4A94-B1F0-6F3031140855}">
    <text>تم ارسال مسودة خطاب6 من شهر 9 2026</text>
  </threadedComment>
  <threadedComment ref="D51" dT="2026-09-20T09:01:39.14" personId="{C5F445F0-094B-4167-BEAB-66C7EE9BD000}" id="{951453D2-B8AE-496D-A620-8AD3FAD73B41}" parentId="{A2DB0723-797B-4A94-B1F0-6F3031140855}">
    <text>تغير صيغة الخطاب  - إلى الأمين</text>
  </threadedComment>
  <threadedComment ref="D51" dT="2026-09-22T07:16:42.60" personId="{C5F445F0-094B-4167-BEAB-66C7EE9BD000}" id="{561AD106-397D-41D2-8333-6A5A5F6E8859}" parentId="{A2DB0723-797B-4A94-B1F0-6F3031140855}">
    <text>بلاغ للنيابه</text>
  </threadedComment>
  <threadedComment ref="D54" dT="2026-08-20T11:34:21.07" personId="{C5F445F0-094B-4167-BEAB-66C7EE9BD000}" id="{50975F5F-2ED2-40CE-AAEA-66AD3A21343E}">
    <text>لا بد من اجراء</text>
  </threadedComment>
  <threadedComment ref="D54" dT="2026-09-10T08:31:49.11" personId="{C5F445F0-094B-4167-BEAB-66C7EE9BD000}" id="{122379C9-91D5-40BE-AB2E-063F9439811B}" parentId="{50975F5F-2ED2-40CE-AAEA-66AD3A21343E}">
    <text xml:space="preserve">تم ارسال ايميل لطلب احداثيات </text>
  </threadedComment>
  <threadedComment ref="D54" dT="2026-09-20T09:02:59.39" personId="{C5F445F0-094B-4167-BEAB-66C7EE9BD000}" id="{90A2ADAF-056D-4ABE-B457-98C6A1A6C1B1}" parentId="{50975F5F-2ED2-40CE-AAEA-66AD3A21343E}">
    <text xml:space="preserve">صدور خطاب للهيئة - ابو حمد </text>
  </threadedComment>
  <threadedComment ref="D54" dT="2026-09-22T07:15:52.53" personId="{C5F445F0-094B-4167-BEAB-66C7EE9BD000}" id="{7EC30980-2592-4D74-9742-1CA8923C0C0B}" parentId="{50975F5F-2ED2-40CE-AAEA-66AD3A21343E}">
    <text>نرفع للنيابة</text>
  </threadedComment>
  <threadedComment ref="D56" dT="2026-08-20T11:36:37.35" personId="{C5F445F0-094B-4167-BEAB-66C7EE9BD000}" id="{8E9E14E8-260E-4B50-9284-75D1ABCED2FD}">
    <text>لابد من اجراء</text>
  </threadedComment>
  <threadedComment ref="D56" dT="2026-09-10T11:02:19.23" personId="{C5F445F0-094B-4167-BEAB-66C7EE9BD000}" id="{7509793D-2E89-4CFD-ABBC-DE86CE694DBC}" parentId="{8E9E14E8-260E-4B50-9284-75D1ABCED2FD}">
    <text>تم إعداد تقرير إزالة بالاضافة لخطاب تغطية</text>
  </threadedComment>
  <threadedComment ref="D56" dT="2026-09-20T09:03:30.09" personId="{C5F445F0-094B-4167-BEAB-66C7EE9BD000}" id="{6CFC97B4-AAA6-4C4C-B772-C99271B41048}" parentId="{8E9E14E8-260E-4B50-9284-75D1ABCED2FD}">
    <text>تغير صيغة الخطاب - بدون تقرير إزالة</text>
  </threadedComment>
</ThreadedComments>
</file>

<file path=xl/threadedComments/threadedComment7.xml><?xml version="1.0" encoding="utf-8"?>
<ThreadedComments xmlns="http://schemas.microsoft.com/office/spreadsheetml/2018/threadedcomments" xmlns:x="http://schemas.openxmlformats.org/spreadsheetml/2006/main">
  <threadedComment ref="D4" dT="2026-08-20T07:56:32.71" personId="{C5F445F0-094B-4167-BEAB-66C7EE9BD000}" id="{908DED68-7C34-40F7-B90C-646577DB26A9}">
    <text>في انتظار تسجيل الواقعة الايجارية</text>
  </threadedComment>
  <threadedComment ref="D4" dT="2026-08-20T07:57:21.19" personId="{C5F445F0-094B-4167-BEAB-66C7EE9BD000}" id="{0E4C3E9B-B9FA-4077-882B-4D338EC1E9EF}" parentId="{908DED68-7C34-40F7-B90C-646577DB26A9}">
    <text xml:space="preserve">لم يتم أتخاذ اي إجراء آخر في عام 2026 حتى الأن 
</text>
  </threadedComment>
  <threadedComment ref="D4" dT="2026-09-10T11:09:34.52" personId="{C5F445F0-094B-4167-BEAB-66C7EE9BD000}" id="{E2DC4FB0-4701-4D26-8EB8-A36ED6C8926E}" parentId="{908DED68-7C34-40F7-B90C-646577DB26A9}">
    <text xml:space="preserve">لن يتم تسجيلها كواقعة إيجارية بسبب شطب السجل- وسيتم تحويلها للقانونية </text>
  </threadedComment>
  <threadedComment ref="D5" dT="2026-08-20T08:00:46.07" personId="{C5F445F0-094B-4167-BEAB-66C7EE9BD000}" id="{499DD33F-3441-4C11-A952-2A7CC3B1F6FF}">
    <text>بانتظار التسجيل كواقعة أيجارية</text>
  </threadedComment>
  <threadedComment ref="D5" dT="2026-08-20T08:01:00.46" personId="{C5F445F0-094B-4167-BEAB-66C7EE9BD000}" id="{76E66EF9-7A5D-4A97-9556-AD2F605368E4}" parentId="{499DD33F-3441-4C11-A952-2A7CC3B1F6FF}">
    <text>لم يتم أتخاذ أجراء آخر 2026</text>
  </threadedComment>
  <threadedComment ref="D6" dT="2026-08-20T08:02:56.73" personId="{C5F445F0-094B-4167-BEAB-66C7EE9BD000}" id="{0FF62EBB-049C-4E25-BA01-0388C4739D1A}">
    <text xml:space="preserve">تم تسجيل واقعة أيجارية بإسم الشخص وليس المؤسسة
</text>
  </threadedComment>
  <threadedComment ref="D6" dT="2026-08-20T08:03:15.46" personId="{C5F445F0-094B-4167-BEAB-66C7EE9BD000}" id="{620EB426-B2E5-499A-8197-13A6C75C3E4C}" parentId="{0FF62EBB-049C-4E25-BA01-0388C4739D1A}">
    <text>بإنتظار تعديل الواقعة الإيجارية مع نفوذ</text>
  </threadedComment>
  <threadedComment ref="D6" dT="2026-09-10T07:25:31.99" personId="{C5F445F0-094B-4167-BEAB-66C7EE9BD000}" id="{4FE1CC43-861A-4892-AA22-A49C5065DB03}" parentId="{0FF62EBB-049C-4E25-BA01-0388C4739D1A}">
    <text>تم ارسال المستخرج التجاري إلى القانونية بدلا من انشاء واقعة جديدية</text>
  </threadedComment>
  <threadedComment ref="D12" dT="2026-08-20T08:05:09.89" personId="{C5F445F0-094B-4167-BEAB-66C7EE9BD000}" id="{393ACF7D-0CBC-474E-926F-B86D0EEC1A04}">
    <text>التاكد من القانونية بخصوص آخر المستجدات</text>
  </threadedComment>
  <threadedComment ref="D13" dT="2026-08-20T08:06:02.51" personId="{C5F445F0-094B-4167-BEAB-66C7EE9BD000}" id="{9FB69959-B9FB-48E5-A9F7-F640C711021A}">
    <text xml:space="preserve">التاكد من القانونية بخصوص آخر المستجدات
</text>
  </threadedComment>
  <threadedComment ref="D14" dT="2026-08-20T08:08:42.78" personId="{C5F445F0-094B-4167-BEAB-66C7EE9BD000}" id="{7941CE80-3663-4386-9BAD-5C0855E49C37}">
    <text xml:space="preserve">التاكد من القانونية بخصوص آخر المستجدات
</text>
  </threadedComment>
  <threadedComment ref="D15" dT="2026-08-20T08:08:51.78" personId="{C5F445F0-094B-4167-BEAB-66C7EE9BD000}" id="{103D36A0-93D6-49F9-948E-51336CD22B20}">
    <text xml:space="preserve">التاكد من القانونية بخصوص آخر المستجدات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EC01A-3770-4A5C-8EFE-63B23DC62FF3}">
  <sheetPr>
    <tabColor rgb="FFFF0000"/>
    <pageSetUpPr fitToPage="1"/>
  </sheetPr>
  <dimension ref="A1:M58"/>
  <sheetViews>
    <sheetView rightToLeft="1" zoomScaleNormal="100" workbookViewId="0">
      <selection activeCell="H65" sqref="H65"/>
    </sheetView>
  </sheetViews>
  <sheetFormatPr defaultRowHeight="14" x14ac:dyDescent="0.3"/>
  <cols>
    <col min="3" max="3" width="13.08203125" customWidth="1"/>
    <col min="4" max="4" width="23.75" bestFit="1" customWidth="1"/>
    <col min="6" max="6" width="12.1640625" customWidth="1"/>
    <col min="7" max="7" width="12.75" customWidth="1"/>
    <col min="8" max="8" width="16.25" customWidth="1"/>
    <col min="9" max="9" width="23.1640625" customWidth="1"/>
    <col min="10" max="11" width="16.25" customWidth="1"/>
    <col min="12" max="12" width="43.75" bestFit="1" customWidth="1"/>
    <col min="13" max="13" width="16.5" style="119" customWidth="1"/>
  </cols>
  <sheetData>
    <row r="1" spans="1:13" ht="14.5" thickBot="1" x14ac:dyDescent="0.35">
      <c r="A1" s="131"/>
      <c r="B1" s="131"/>
      <c r="C1" s="131"/>
      <c r="D1" s="82">
        <v>46292</v>
      </c>
    </row>
    <row r="2" spans="1:13" ht="18.5" x14ac:dyDescent="0.3">
      <c r="A2" s="19" t="s">
        <v>0</v>
      </c>
      <c r="B2" s="20" t="s">
        <v>1</v>
      </c>
      <c r="C2" s="20" t="s">
        <v>2</v>
      </c>
      <c r="D2" s="21" t="s">
        <v>3</v>
      </c>
      <c r="E2" s="21" t="s">
        <v>4</v>
      </c>
      <c r="F2" s="20" t="s">
        <v>5</v>
      </c>
      <c r="G2" s="117" t="s">
        <v>390</v>
      </c>
      <c r="H2" s="22" t="s">
        <v>6</v>
      </c>
      <c r="I2" s="117" t="s">
        <v>399</v>
      </c>
      <c r="J2" s="117" t="s">
        <v>400</v>
      </c>
      <c r="K2" s="117" t="s">
        <v>401</v>
      </c>
      <c r="L2" s="23" t="s">
        <v>7</v>
      </c>
      <c r="M2" s="120" t="s">
        <v>392</v>
      </c>
    </row>
    <row r="3" spans="1:13" ht="70" x14ac:dyDescent="0.3">
      <c r="A3" s="12">
        <v>1</v>
      </c>
      <c r="B3" s="1" t="s">
        <v>8</v>
      </c>
      <c r="C3" s="2" t="s">
        <v>26</v>
      </c>
      <c r="D3" s="3" t="s">
        <v>27</v>
      </c>
      <c r="E3" s="1" t="s">
        <v>11</v>
      </c>
      <c r="F3" s="4" t="s">
        <v>12</v>
      </c>
      <c r="G3" s="4"/>
      <c r="H3" s="4" t="s">
        <v>29</v>
      </c>
      <c r="I3" s="4"/>
      <c r="J3" s="4"/>
      <c r="K3" s="4"/>
      <c r="L3" s="5" t="s">
        <v>30</v>
      </c>
      <c r="M3" s="119" t="s">
        <v>393</v>
      </c>
    </row>
    <row r="4" spans="1:13" x14ac:dyDescent="0.3">
      <c r="A4" s="12">
        <v>2</v>
      </c>
      <c r="B4" s="1" t="s">
        <v>8</v>
      </c>
      <c r="C4" s="2" t="s">
        <v>36</v>
      </c>
      <c r="D4" s="3" t="s">
        <v>37</v>
      </c>
      <c r="E4" s="1" t="s">
        <v>11</v>
      </c>
      <c r="F4" s="4" t="s">
        <v>28</v>
      </c>
      <c r="G4" s="4"/>
      <c r="H4" s="4"/>
      <c r="I4" s="4"/>
      <c r="J4" s="4"/>
      <c r="K4" s="4"/>
      <c r="L4" s="8"/>
      <c r="M4" s="121"/>
    </row>
    <row r="5" spans="1:13" x14ac:dyDescent="0.3">
      <c r="A5" s="12">
        <v>3</v>
      </c>
      <c r="B5" s="1" t="s">
        <v>8</v>
      </c>
      <c r="C5" s="2" t="s">
        <v>38</v>
      </c>
      <c r="D5" s="3" t="s">
        <v>39</v>
      </c>
      <c r="E5" s="1" t="s">
        <v>11</v>
      </c>
      <c r="F5" s="4" t="s">
        <v>28</v>
      </c>
      <c r="G5" s="4"/>
      <c r="H5" s="4"/>
      <c r="I5" s="4"/>
      <c r="J5" s="4"/>
      <c r="K5" s="4"/>
      <c r="L5" s="8"/>
      <c r="M5" s="121"/>
    </row>
    <row r="6" spans="1:13" ht="23" x14ac:dyDescent="0.3">
      <c r="A6" s="12">
        <v>4</v>
      </c>
      <c r="B6" s="1" t="s">
        <v>8</v>
      </c>
      <c r="C6" s="2" t="s">
        <v>40</v>
      </c>
      <c r="D6" s="3" t="s">
        <v>32</v>
      </c>
      <c r="E6" s="1" t="s">
        <v>11</v>
      </c>
      <c r="F6" s="4" t="s">
        <v>28</v>
      </c>
      <c r="G6" s="4"/>
      <c r="H6" s="4"/>
      <c r="I6" s="4"/>
      <c r="J6" s="4"/>
      <c r="K6" s="4"/>
      <c r="L6" s="8"/>
      <c r="M6" s="121"/>
    </row>
    <row r="7" spans="1:13" x14ac:dyDescent="0.3">
      <c r="A7" s="12">
        <v>5</v>
      </c>
      <c r="B7" s="1" t="s">
        <v>8</v>
      </c>
      <c r="C7" s="2" t="s">
        <v>41</v>
      </c>
      <c r="D7" s="3" t="s">
        <v>32</v>
      </c>
      <c r="E7" s="1" t="s">
        <v>11</v>
      </c>
      <c r="F7" s="4" t="s">
        <v>28</v>
      </c>
      <c r="G7" s="4"/>
      <c r="H7" s="4"/>
      <c r="I7" s="4"/>
      <c r="J7" s="4"/>
      <c r="K7" s="4"/>
      <c r="L7" s="8"/>
      <c r="M7" s="121"/>
    </row>
    <row r="8" spans="1:13" ht="34.5" x14ac:dyDescent="0.3">
      <c r="A8" s="12">
        <v>6</v>
      </c>
      <c r="B8" s="1" t="s">
        <v>8</v>
      </c>
      <c r="C8" s="2" t="s">
        <v>42</v>
      </c>
      <c r="D8" s="3" t="s">
        <v>43</v>
      </c>
      <c r="E8" s="1" t="s">
        <v>11</v>
      </c>
      <c r="F8" s="4" t="s">
        <v>28</v>
      </c>
      <c r="G8" s="4"/>
      <c r="H8" s="4"/>
      <c r="I8" s="4"/>
      <c r="J8" s="4"/>
      <c r="K8" s="4"/>
      <c r="L8" s="8"/>
      <c r="M8" s="121"/>
    </row>
    <row r="9" spans="1:13" ht="23" x14ac:dyDescent="0.3">
      <c r="A9" s="12">
        <v>7</v>
      </c>
      <c r="B9" s="1" t="s">
        <v>8</v>
      </c>
      <c r="C9" s="2" t="s">
        <v>44</v>
      </c>
      <c r="D9" s="3" t="s">
        <v>45</v>
      </c>
      <c r="E9" s="1" t="s">
        <v>11</v>
      </c>
      <c r="F9" s="4" t="s">
        <v>28</v>
      </c>
      <c r="G9" s="4"/>
      <c r="H9" s="4"/>
      <c r="I9" s="4"/>
      <c r="J9" s="4"/>
      <c r="K9" s="4"/>
      <c r="L9" s="8"/>
      <c r="M9" s="121"/>
    </row>
    <row r="10" spans="1:13" x14ac:dyDescent="0.3">
      <c r="A10" s="12">
        <v>8</v>
      </c>
      <c r="B10" s="1" t="s">
        <v>8</v>
      </c>
      <c r="C10" s="7" t="s">
        <v>46</v>
      </c>
      <c r="D10" s="3" t="s">
        <v>47</v>
      </c>
      <c r="E10" s="1" t="s">
        <v>11</v>
      </c>
      <c r="F10" s="4" t="s">
        <v>28</v>
      </c>
      <c r="G10" s="4"/>
      <c r="H10" s="4"/>
      <c r="I10" s="4"/>
      <c r="J10" s="4"/>
      <c r="K10" s="4"/>
      <c r="L10" s="8" t="s">
        <v>48</v>
      </c>
      <c r="M10" s="121"/>
    </row>
    <row r="11" spans="1:13" x14ac:dyDescent="0.3">
      <c r="A11" s="12">
        <v>9</v>
      </c>
      <c r="B11" s="1" t="s">
        <v>49</v>
      </c>
      <c r="C11" s="2" t="s">
        <v>84</v>
      </c>
      <c r="D11" s="3" t="s">
        <v>85</v>
      </c>
      <c r="E11" s="1" t="s">
        <v>11</v>
      </c>
      <c r="F11" s="4" t="s">
        <v>28</v>
      </c>
      <c r="G11" s="4"/>
      <c r="H11" s="4"/>
      <c r="I11" s="4"/>
      <c r="J11" s="4"/>
      <c r="K11" s="4"/>
      <c r="L11" s="8" t="s">
        <v>86</v>
      </c>
      <c r="M11" s="121"/>
    </row>
    <row r="12" spans="1:13" ht="56" x14ac:dyDescent="0.3">
      <c r="A12" s="12">
        <v>10</v>
      </c>
      <c r="B12" s="1" t="s">
        <v>49</v>
      </c>
      <c r="C12" s="2" t="s">
        <v>87</v>
      </c>
      <c r="D12" s="3" t="s">
        <v>88</v>
      </c>
      <c r="E12" s="1" t="s">
        <v>11</v>
      </c>
      <c r="F12" s="4" t="s">
        <v>28</v>
      </c>
      <c r="G12" s="4"/>
      <c r="H12" s="4"/>
      <c r="I12" s="4"/>
      <c r="J12" s="4"/>
      <c r="K12" s="4"/>
      <c r="L12" s="5" t="s">
        <v>89</v>
      </c>
      <c r="M12" s="121"/>
    </row>
    <row r="13" spans="1:13" ht="56" x14ac:dyDescent="0.3">
      <c r="A13" s="12">
        <v>11</v>
      </c>
      <c r="B13" s="1" t="s">
        <v>49</v>
      </c>
      <c r="C13" s="2" t="s">
        <v>80</v>
      </c>
      <c r="D13" s="3" t="s">
        <v>90</v>
      </c>
      <c r="E13" s="1" t="s">
        <v>11</v>
      </c>
      <c r="F13" s="4" t="s">
        <v>28</v>
      </c>
      <c r="G13" s="4"/>
      <c r="H13" s="4"/>
      <c r="I13" s="4"/>
      <c r="J13" s="4"/>
      <c r="K13" s="4"/>
      <c r="L13" s="5" t="s">
        <v>91</v>
      </c>
      <c r="M13" s="121"/>
    </row>
    <row r="14" spans="1:13" ht="42" x14ac:dyDescent="0.3">
      <c r="A14" s="12">
        <v>12</v>
      </c>
      <c r="B14" s="1" t="s">
        <v>49</v>
      </c>
      <c r="C14" s="2" t="s">
        <v>92</v>
      </c>
      <c r="D14" s="3" t="s">
        <v>93</v>
      </c>
      <c r="E14" s="1" t="s">
        <v>11</v>
      </c>
      <c r="F14" s="4" t="s">
        <v>28</v>
      </c>
      <c r="G14" s="4"/>
      <c r="H14" s="4"/>
      <c r="I14" s="4"/>
      <c r="J14" s="4"/>
      <c r="K14" s="4"/>
      <c r="L14" s="5" t="s">
        <v>94</v>
      </c>
      <c r="M14" s="121"/>
    </row>
    <row r="15" spans="1:13" ht="28" x14ac:dyDescent="0.3">
      <c r="A15" s="12">
        <v>13</v>
      </c>
      <c r="B15" s="1" t="s">
        <v>49</v>
      </c>
      <c r="C15" s="2" t="s">
        <v>100</v>
      </c>
      <c r="D15" s="3" t="s">
        <v>101</v>
      </c>
      <c r="E15" s="1" t="s">
        <v>11</v>
      </c>
      <c r="F15" s="4" t="s">
        <v>28</v>
      </c>
      <c r="G15" s="4"/>
      <c r="H15" s="4"/>
      <c r="I15" s="4"/>
      <c r="J15" s="4"/>
      <c r="K15" s="4"/>
      <c r="L15" s="5" t="s">
        <v>102</v>
      </c>
      <c r="M15" s="121"/>
    </row>
    <row r="16" spans="1:13" ht="70" x14ac:dyDescent="0.3">
      <c r="A16" s="12">
        <v>14</v>
      </c>
      <c r="B16" s="1" t="s">
        <v>103</v>
      </c>
      <c r="C16" s="2" t="s">
        <v>131</v>
      </c>
      <c r="D16" s="3" t="s">
        <v>132</v>
      </c>
      <c r="E16" s="1" t="s">
        <v>11</v>
      </c>
      <c r="F16" s="4" t="s">
        <v>28</v>
      </c>
      <c r="G16" s="4"/>
      <c r="H16" s="4"/>
      <c r="I16" s="4"/>
      <c r="J16" s="4"/>
      <c r="K16" s="4"/>
      <c r="L16" s="5" t="s">
        <v>133</v>
      </c>
      <c r="M16" s="121"/>
    </row>
    <row r="17" spans="1:13" x14ac:dyDescent="0.3">
      <c r="A17" s="12">
        <v>15</v>
      </c>
      <c r="B17" s="1" t="s">
        <v>103</v>
      </c>
      <c r="C17" s="2" t="s">
        <v>137</v>
      </c>
      <c r="D17" s="3" t="s">
        <v>138</v>
      </c>
      <c r="E17" s="1" t="s">
        <v>11</v>
      </c>
      <c r="F17" s="4" t="s">
        <v>28</v>
      </c>
      <c r="G17" s="4"/>
      <c r="H17" s="4"/>
      <c r="I17" s="4"/>
      <c r="J17" s="4"/>
      <c r="K17" s="4"/>
      <c r="L17" s="8"/>
      <c r="M17" s="121"/>
    </row>
    <row r="18" spans="1:13" ht="28" x14ac:dyDescent="0.3">
      <c r="A18" s="12">
        <v>16</v>
      </c>
      <c r="B18" s="1" t="s">
        <v>177</v>
      </c>
      <c r="C18" s="2" t="s">
        <v>178</v>
      </c>
      <c r="D18" s="3" t="s">
        <v>132</v>
      </c>
      <c r="E18" s="1" t="s">
        <v>11</v>
      </c>
      <c r="F18" s="4" t="s">
        <v>28</v>
      </c>
      <c r="G18" s="4"/>
      <c r="H18" s="4"/>
      <c r="I18" s="4"/>
      <c r="J18" s="4"/>
      <c r="K18" s="4"/>
      <c r="L18" s="5" t="s">
        <v>179</v>
      </c>
      <c r="M18" s="121"/>
    </row>
    <row r="19" spans="1:13" ht="98" x14ac:dyDescent="0.3">
      <c r="A19" s="12">
        <v>17</v>
      </c>
      <c r="B19" s="1" t="s">
        <v>8</v>
      </c>
      <c r="C19" s="2" t="s">
        <v>16</v>
      </c>
      <c r="D19" s="3" t="s">
        <v>17</v>
      </c>
      <c r="E19" s="1" t="s">
        <v>11</v>
      </c>
      <c r="F19" s="4" t="s">
        <v>18</v>
      </c>
      <c r="G19" s="4"/>
      <c r="H19" s="4"/>
      <c r="I19" s="4"/>
      <c r="J19" s="4"/>
      <c r="K19" s="4"/>
      <c r="L19" s="5" t="s">
        <v>19</v>
      </c>
      <c r="M19" s="119" t="s">
        <v>394</v>
      </c>
    </row>
    <row r="20" spans="1:13" ht="70" x14ac:dyDescent="0.3">
      <c r="A20" s="12">
        <v>18</v>
      </c>
      <c r="B20" s="1" t="s">
        <v>180</v>
      </c>
      <c r="C20" s="2" t="s">
        <v>181</v>
      </c>
      <c r="D20" s="3" t="s">
        <v>182</v>
      </c>
      <c r="E20" s="1" t="s">
        <v>11</v>
      </c>
      <c r="F20" s="4" t="s">
        <v>12</v>
      </c>
      <c r="G20" s="4"/>
      <c r="H20" s="4" t="s">
        <v>352</v>
      </c>
      <c r="I20" s="4"/>
      <c r="J20" s="4"/>
      <c r="K20" s="4"/>
      <c r="L20" s="5" t="s">
        <v>183</v>
      </c>
      <c r="M20" s="119" t="s">
        <v>393</v>
      </c>
    </row>
    <row r="21" spans="1:13" ht="70" x14ac:dyDescent="0.3">
      <c r="A21" s="12">
        <v>19</v>
      </c>
      <c r="B21" s="1" t="s">
        <v>180</v>
      </c>
      <c r="C21" s="2" t="s">
        <v>184</v>
      </c>
      <c r="D21" s="3" t="s">
        <v>185</v>
      </c>
      <c r="E21" s="1" t="s">
        <v>11</v>
      </c>
      <c r="F21" s="4" t="s">
        <v>18</v>
      </c>
      <c r="G21" s="4"/>
      <c r="H21" s="4"/>
      <c r="I21" s="4"/>
      <c r="J21" s="4"/>
      <c r="K21" s="4"/>
      <c r="L21" s="5" t="s">
        <v>186</v>
      </c>
      <c r="M21" s="119" t="s">
        <v>394</v>
      </c>
    </row>
    <row r="22" spans="1:13" ht="98" x14ac:dyDescent="0.3">
      <c r="A22" s="12">
        <v>20</v>
      </c>
      <c r="B22" s="1" t="s">
        <v>180</v>
      </c>
      <c r="C22" s="2" t="s">
        <v>187</v>
      </c>
      <c r="D22" s="3" t="s">
        <v>188</v>
      </c>
      <c r="E22" s="1" t="s">
        <v>11</v>
      </c>
      <c r="F22" s="4" t="s">
        <v>18</v>
      </c>
      <c r="G22" s="4"/>
      <c r="H22" s="4"/>
      <c r="I22" s="4"/>
      <c r="J22" s="4"/>
      <c r="K22" s="4"/>
      <c r="L22" s="5" t="s">
        <v>189</v>
      </c>
      <c r="M22" s="121" t="s">
        <v>394</v>
      </c>
    </row>
    <row r="23" spans="1:13" ht="112" x14ac:dyDescent="0.3">
      <c r="A23" s="12">
        <v>21</v>
      </c>
      <c r="B23" s="1" t="s">
        <v>8</v>
      </c>
      <c r="C23" s="2" t="s">
        <v>24</v>
      </c>
      <c r="D23" s="3" t="s">
        <v>25</v>
      </c>
      <c r="E23" s="1" t="s">
        <v>11</v>
      </c>
      <c r="F23" s="4" t="s">
        <v>12</v>
      </c>
      <c r="G23" s="4"/>
      <c r="H23" s="4" t="s">
        <v>351</v>
      </c>
      <c r="I23" s="4"/>
      <c r="J23" s="4"/>
      <c r="K23" s="4"/>
      <c r="L23" s="5" t="s">
        <v>345</v>
      </c>
      <c r="M23" s="119" t="s">
        <v>394</v>
      </c>
    </row>
    <row r="24" spans="1:13" ht="84" x14ac:dyDescent="0.3">
      <c r="A24" s="12">
        <v>22</v>
      </c>
      <c r="B24" s="1" t="s">
        <v>8</v>
      </c>
      <c r="C24" s="2" t="s">
        <v>9</v>
      </c>
      <c r="D24" s="3" t="s">
        <v>425</v>
      </c>
      <c r="E24" s="1" t="s">
        <v>11</v>
      </c>
      <c r="F24" s="4" t="s">
        <v>12</v>
      </c>
      <c r="G24" s="4"/>
      <c r="H24" s="4" t="s">
        <v>13</v>
      </c>
      <c r="I24" s="4"/>
      <c r="J24" s="4"/>
      <c r="K24" s="4"/>
      <c r="L24" s="5" t="s">
        <v>14</v>
      </c>
      <c r="M24" s="119" t="s">
        <v>393</v>
      </c>
    </row>
    <row r="25" spans="1:13" ht="98" x14ac:dyDescent="0.3">
      <c r="A25" s="12">
        <v>23</v>
      </c>
      <c r="B25" s="1" t="s">
        <v>8</v>
      </c>
      <c r="C25" s="2" t="s">
        <v>15</v>
      </c>
      <c r="D25" s="3" t="s">
        <v>425</v>
      </c>
      <c r="E25" s="1" t="s">
        <v>11</v>
      </c>
      <c r="F25" s="4" t="s">
        <v>12</v>
      </c>
      <c r="G25" s="4"/>
      <c r="H25" s="4" t="s">
        <v>369</v>
      </c>
      <c r="I25" s="4"/>
      <c r="J25" s="4"/>
      <c r="K25" s="4"/>
      <c r="L25" s="5" t="s">
        <v>344</v>
      </c>
      <c r="M25" s="119" t="s">
        <v>394</v>
      </c>
    </row>
    <row r="26" spans="1:13" x14ac:dyDescent="0.3">
      <c r="A26" s="12">
        <v>24</v>
      </c>
      <c r="B26" s="1" t="s">
        <v>8</v>
      </c>
      <c r="C26" s="2" t="s">
        <v>20</v>
      </c>
      <c r="D26" s="3" t="s">
        <v>21</v>
      </c>
      <c r="E26" s="1" t="s">
        <v>11</v>
      </c>
      <c r="F26" s="4" t="s">
        <v>12</v>
      </c>
      <c r="G26" s="4"/>
      <c r="H26" s="4" t="s">
        <v>22</v>
      </c>
      <c r="I26" s="4"/>
      <c r="J26" s="4"/>
      <c r="K26" s="4"/>
      <c r="L26" s="6" t="s">
        <v>23</v>
      </c>
      <c r="M26" s="119" t="s">
        <v>393</v>
      </c>
    </row>
    <row r="27" spans="1:13" ht="28" x14ac:dyDescent="0.3">
      <c r="A27" s="12">
        <v>25</v>
      </c>
      <c r="B27" s="1" t="s">
        <v>8</v>
      </c>
      <c r="C27" s="2" t="s">
        <v>31</v>
      </c>
      <c r="D27" s="3" t="s">
        <v>32</v>
      </c>
      <c r="E27" s="1" t="s">
        <v>11</v>
      </c>
      <c r="F27" s="4" t="s">
        <v>12</v>
      </c>
      <c r="G27" s="4"/>
      <c r="H27" s="4"/>
      <c r="I27" s="4"/>
      <c r="J27" s="4"/>
      <c r="K27" s="4"/>
      <c r="L27" s="5" t="s">
        <v>33</v>
      </c>
      <c r="M27" s="121" t="s">
        <v>395</v>
      </c>
    </row>
    <row r="28" spans="1:13" ht="28" x14ac:dyDescent="0.3">
      <c r="A28" s="12">
        <v>26</v>
      </c>
      <c r="B28" s="1" t="s">
        <v>8</v>
      </c>
      <c r="C28" s="2" t="s">
        <v>34</v>
      </c>
      <c r="D28" s="3" t="s">
        <v>32</v>
      </c>
      <c r="E28" s="1" t="s">
        <v>11</v>
      </c>
      <c r="F28" s="4" t="s">
        <v>12</v>
      </c>
      <c r="G28" s="4"/>
      <c r="H28" s="4"/>
      <c r="I28" s="4"/>
      <c r="J28" s="4"/>
      <c r="K28" s="4"/>
      <c r="L28" s="5" t="s">
        <v>35</v>
      </c>
      <c r="M28" s="121" t="s">
        <v>395</v>
      </c>
    </row>
    <row r="29" spans="1:13" ht="126" x14ac:dyDescent="0.3">
      <c r="A29" s="12">
        <v>27</v>
      </c>
      <c r="B29" s="1" t="s">
        <v>139</v>
      </c>
      <c r="C29" s="2" t="s">
        <v>150</v>
      </c>
      <c r="D29" s="3" t="s">
        <v>151</v>
      </c>
      <c r="E29" s="1" t="s">
        <v>11</v>
      </c>
      <c r="F29" s="4" t="s">
        <v>28</v>
      </c>
      <c r="G29" s="4" t="s">
        <v>361</v>
      </c>
      <c r="H29" s="4" t="s">
        <v>152</v>
      </c>
      <c r="I29" s="4" t="s">
        <v>412</v>
      </c>
      <c r="J29" s="4" t="s">
        <v>413</v>
      </c>
      <c r="K29" s="4" t="s">
        <v>414</v>
      </c>
      <c r="L29" s="5" t="s">
        <v>398</v>
      </c>
      <c r="M29" s="119" t="s">
        <v>396</v>
      </c>
    </row>
    <row r="30" spans="1:13" ht="98" x14ac:dyDescent="0.3">
      <c r="A30" s="12">
        <v>28</v>
      </c>
      <c r="B30" s="1" t="s">
        <v>139</v>
      </c>
      <c r="C30" s="2" t="s">
        <v>153</v>
      </c>
      <c r="D30" s="3" t="s">
        <v>154</v>
      </c>
      <c r="E30" s="1" t="s">
        <v>11</v>
      </c>
      <c r="F30" s="4" t="s">
        <v>397</v>
      </c>
      <c r="G30" s="4" t="s">
        <v>361</v>
      </c>
      <c r="H30" s="4" t="s">
        <v>155</v>
      </c>
      <c r="I30" s="4" t="s">
        <v>415</v>
      </c>
      <c r="J30" s="4" t="s">
        <v>416</v>
      </c>
      <c r="K30" s="4" t="s">
        <v>417</v>
      </c>
      <c r="L30" s="5" t="s">
        <v>156</v>
      </c>
      <c r="M30" s="119" t="s">
        <v>396</v>
      </c>
    </row>
    <row r="31" spans="1:13" ht="140" x14ac:dyDescent="0.3">
      <c r="A31" s="12">
        <v>29</v>
      </c>
      <c r="B31" s="1" t="s">
        <v>49</v>
      </c>
      <c r="C31" s="2" t="s">
        <v>58</v>
      </c>
      <c r="D31" s="3" t="s">
        <v>59</v>
      </c>
      <c r="E31" s="1" t="s">
        <v>11</v>
      </c>
      <c r="F31" s="4" t="s">
        <v>12</v>
      </c>
      <c r="G31" s="4"/>
      <c r="H31" s="4" t="s">
        <v>60</v>
      </c>
      <c r="I31" s="4"/>
      <c r="J31" s="4"/>
      <c r="K31" s="4"/>
      <c r="L31" s="5" t="s">
        <v>61</v>
      </c>
      <c r="M31" s="119" t="s">
        <v>394</v>
      </c>
    </row>
    <row r="32" spans="1:13" ht="126" x14ac:dyDescent="0.3">
      <c r="A32" s="12">
        <v>30</v>
      </c>
      <c r="B32" s="1" t="s">
        <v>49</v>
      </c>
      <c r="C32" s="2" t="s">
        <v>62</v>
      </c>
      <c r="D32" s="9" t="s">
        <v>63</v>
      </c>
      <c r="E32" s="1" t="s">
        <v>11</v>
      </c>
      <c r="F32" s="4" t="s">
        <v>12</v>
      </c>
      <c r="G32" s="4" t="s">
        <v>391</v>
      </c>
      <c r="H32" s="4" t="s">
        <v>64</v>
      </c>
      <c r="I32" s="4"/>
      <c r="J32" s="4"/>
      <c r="K32" s="4"/>
      <c r="L32" s="5" t="s">
        <v>65</v>
      </c>
      <c r="M32" s="119" t="s">
        <v>394</v>
      </c>
    </row>
    <row r="33" spans="1:13" ht="140" x14ac:dyDescent="0.3">
      <c r="A33" s="12">
        <v>31</v>
      </c>
      <c r="B33" s="1" t="s">
        <v>49</v>
      </c>
      <c r="C33" s="2" t="s">
        <v>66</v>
      </c>
      <c r="D33" s="3" t="s">
        <v>67</v>
      </c>
      <c r="E33" s="1" t="s">
        <v>11</v>
      </c>
      <c r="F33" s="4" t="s">
        <v>12</v>
      </c>
      <c r="G33" s="4"/>
      <c r="H33" s="4" t="s">
        <v>350</v>
      </c>
      <c r="I33" s="4"/>
      <c r="J33" s="4"/>
      <c r="K33" s="4"/>
      <c r="L33" s="5" t="s">
        <v>68</v>
      </c>
      <c r="M33" s="119" t="s">
        <v>393</v>
      </c>
    </row>
    <row r="34" spans="1:13" ht="126" x14ac:dyDescent="0.3">
      <c r="A34" s="12">
        <v>32</v>
      </c>
      <c r="B34" s="1" t="s">
        <v>49</v>
      </c>
      <c r="C34" s="2" t="s">
        <v>69</v>
      </c>
      <c r="D34" s="3" t="s">
        <v>70</v>
      </c>
      <c r="E34" s="1" t="s">
        <v>11</v>
      </c>
      <c r="F34" s="4" t="s">
        <v>12</v>
      </c>
      <c r="G34" s="4"/>
      <c r="H34" s="4" t="s">
        <v>71</v>
      </c>
      <c r="I34" s="4"/>
      <c r="J34" s="4"/>
      <c r="K34" s="4"/>
      <c r="L34" s="5" t="s">
        <v>72</v>
      </c>
      <c r="M34" s="119" t="s">
        <v>394</v>
      </c>
    </row>
    <row r="35" spans="1:13" ht="98" x14ac:dyDescent="0.3">
      <c r="A35" s="12">
        <v>33</v>
      </c>
      <c r="B35" s="1" t="s">
        <v>49</v>
      </c>
      <c r="C35" s="2" t="s">
        <v>73</v>
      </c>
      <c r="D35" s="3" t="s">
        <v>74</v>
      </c>
      <c r="E35" s="1" t="s">
        <v>11</v>
      </c>
      <c r="F35" s="4" t="s">
        <v>12</v>
      </c>
      <c r="G35" s="4"/>
      <c r="H35" s="4" t="s">
        <v>75</v>
      </c>
      <c r="I35" s="4"/>
      <c r="J35" s="4"/>
      <c r="K35" s="4"/>
      <c r="L35" s="5" t="s">
        <v>76</v>
      </c>
      <c r="M35" s="119" t="s">
        <v>394</v>
      </c>
    </row>
    <row r="36" spans="1:13" ht="140" x14ac:dyDescent="0.3">
      <c r="A36" s="12">
        <v>34</v>
      </c>
      <c r="B36" s="1" t="s">
        <v>49</v>
      </c>
      <c r="C36" s="2" t="s">
        <v>77</v>
      </c>
      <c r="D36" s="3" t="s">
        <v>78</v>
      </c>
      <c r="E36" s="1" t="s">
        <v>11</v>
      </c>
      <c r="F36" s="4" t="s">
        <v>12</v>
      </c>
      <c r="G36" s="4" t="s">
        <v>360</v>
      </c>
      <c r="H36" s="4" t="s">
        <v>388</v>
      </c>
      <c r="I36" s="4"/>
      <c r="J36" s="4"/>
      <c r="K36" s="4"/>
      <c r="L36" s="5" t="s">
        <v>79</v>
      </c>
      <c r="M36" s="119" t="s">
        <v>393</v>
      </c>
    </row>
    <row r="37" spans="1:13" ht="28" x14ac:dyDescent="0.3">
      <c r="A37" s="12">
        <v>35</v>
      </c>
      <c r="B37" s="1" t="s">
        <v>49</v>
      </c>
      <c r="C37" s="2" t="s">
        <v>80</v>
      </c>
      <c r="D37" s="3" t="s">
        <v>81</v>
      </c>
      <c r="E37" s="1" t="s">
        <v>11</v>
      </c>
      <c r="F37" s="4" t="s">
        <v>12</v>
      </c>
      <c r="G37" s="4" t="s">
        <v>391</v>
      </c>
      <c r="H37" s="4" t="s">
        <v>82</v>
      </c>
      <c r="I37" s="4"/>
      <c r="J37" s="4"/>
      <c r="K37" s="4"/>
      <c r="L37" s="5" t="s">
        <v>83</v>
      </c>
      <c r="M37" s="119" t="s">
        <v>393</v>
      </c>
    </row>
    <row r="38" spans="1:13" ht="42" x14ac:dyDescent="0.3">
      <c r="A38" s="12">
        <v>36</v>
      </c>
      <c r="B38" s="1" t="s">
        <v>49</v>
      </c>
      <c r="C38" s="2" t="s">
        <v>95</v>
      </c>
      <c r="D38" s="3" t="s">
        <v>96</v>
      </c>
      <c r="E38" s="1" t="s">
        <v>11</v>
      </c>
      <c r="F38" s="4" t="s">
        <v>12</v>
      </c>
      <c r="G38" s="4"/>
      <c r="H38" s="4"/>
      <c r="I38" s="4"/>
      <c r="J38" s="4"/>
      <c r="K38" s="4"/>
      <c r="L38" s="5" t="s">
        <v>97</v>
      </c>
      <c r="M38" s="121" t="s">
        <v>395</v>
      </c>
    </row>
    <row r="39" spans="1:13" ht="28" x14ac:dyDescent="0.3">
      <c r="A39" s="12">
        <v>37</v>
      </c>
      <c r="B39" s="1" t="s">
        <v>49</v>
      </c>
      <c r="C39" s="2" t="s">
        <v>98</v>
      </c>
      <c r="D39" s="3" t="s">
        <v>32</v>
      </c>
      <c r="E39" s="1" t="s">
        <v>11</v>
      </c>
      <c r="F39" s="4" t="s">
        <v>12</v>
      </c>
      <c r="G39" s="4"/>
      <c r="H39" s="4"/>
      <c r="I39" s="4"/>
      <c r="J39" s="4"/>
      <c r="K39" s="4"/>
      <c r="L39" s="5" t="s">
        <v>99</v>
      </c>
      <c r="M39" s="121" t="s">
        <v>395</v>
      </c>
    </row>
    <row r="40" spans="1:13" ht="98" x14ac:dyDescent="0.3">
      <c r="A40" s="12">
        <v>38</v>
      </c>
      <c r="B40" s="1" t="s">
        <v>139</v>
      </c>
      <c r="C40" s="2" t="s">
        <v>157</v>
      </c>
      <c r="D40" s="3" t="s">
        <v>158</v>
      </c>
      <c r="E40" s="1" t="s">
        <v>11</v>
      </c>
      <c r="F40" s="4" t="s">
        <v>397</v>
      </c>
      <c r="G40" s="4" t="s">
        <v>361</v>
      </c>
      <c r="H40" s="4" t="s">
        <v>159</v>
      </c>
      <c r="I40" s="4" t="s">
        <v>405</v>
      </c>
      <c r="J40" s="4" t="s">
        <v>403</v>
      </c>
      <c r="K40" s="4" t="s">
        <v>418</v>
      </c>
      <c r="L40" s="5" t="s">
        <v>160</v>
      </c>
      <c r="M40" s="119" t="s">
        <v>396</v>
      </c>
    </row>
    <row r="41" spans="1:13" ht="70" x14ac:dyDescent="0.3">
      <c r="A41" s="12">
        <v>39</v>
      </c>
      <c r="B41" s="1" t="s">
        <v>103</v>
      </c>
      <c r="C41" s="2" t="s">
        <v>108</v>
      </c>
      <c r="D41" s="3" t="s">
        <v>109</v>
      </c>
      <c r="E41" s="1" t="s">
        <v>11</v>
      </c>
      <c r="F41" s="4" t="s">
        <v>12</v>
      </c>
      <c r="G41" s="4" t="s">
        <v>391</v>
      </c>
      <c r="H41" s="4" t="s">
        <v>110</v>
      </c>
      <c r="I41" s="4"/>
      <c r="J41" s="4"/>
      <c r="K41" s="4"/>
      <c r="L41" s="5" t="s">
        <v>111</v>
      </c>
      <c r="M41" s="119" t="s">
        <v>393</v>
      </c>
    </row>
    <row r="42" spans="1:13" ht="154" x14ac:dyDescent="0.3">
      <c r="A42" s="12">
        <v>40</v>
      </c>
      <c r="B42" s="1" t="s">
        <v>103</v>
      </c>
      <c r="C42" s="2" t="s">
        <v>112</v>
      </c>
      <c r="D42" s="3" t="s">
        <v>113</v>
      </c>
      <c r="E42" s="1" t="s">
        <v>11</v>
      </c>
      <c r="F42" s="4" t="s">
        <v>12</v>
      </c>
      <c r="G42" s="4"/>
      <c r="H42" s="4" t="s">
        <v>114</v>
      </c>
      <c r="I42" s="4"/>
      <c r="J42" s="4"/>
      <c r="K42" s="4"/>
      <c r="L42" s="5" t="s">
        <v>115</v>
      </c>
      <c r="M42" s="119" t="s">
        <v>393</v>
      </c>
    </row>
    <row r="43" spans="1:13" ht="98" x14ac:dyDescent="0.3">
      <c r="A43" s="12">
        <v>41</v>
      </c>
      <c r="B43" s="1" t="s">
        <v>139</v>
      </c>
      <c r="C43" s="2" t="s">
        <v>165</v>
      </c>
      <c r="D43" s="3" t="s">
        <v>166</v>
      </c>
      <c r="E43" s="1" t="s">
        <v>11</v>
      </c>
      <c r="F43" s="4" t="s">
        <v>397</v>
      </c>
      <c r="G43" s="4" t="s">
        <v>361</v>
      </c>
      <c r="H43" s="4" t="s">
        <v>167</v>
      </c>
      <c r="I43" s="4" t="s">
        <v>419</v>
      </c>
      <c r="J43" s="4" t="s">
        <v>420</v>
      </c>
      <c r="K43" s="4" t="s">
        <v>421</v>
      </c>
      <c r="L43" s="5" t="s">
        <v>168</v>
      </c>
      <c r="M43" s="119" t="s">
        <v>396</v>
      </c>
    </row>
    <row r="44" spans="1:13" ht="140" x14ac:dyDescent="0.3">
      <c r="A44" s="12">
        <v>42</v>
      </c>
      <c r="B44" s="1" t="s">
        <v>103</v>
      </c>
      <c r="C44" s="2" t="s">
        <v>120</v>
      </c>
      <c r="D44" s="3" t="s">
        <v>121</v>
      </c>
      <c r="E44" s="1" t="s">
        <v>11</v>
      </c>
      <c r="F44" s="4" t="s">
        <v>12</v>
      </c>
      <c r="G44" s="4" t="s">
        <v>391</v>
      </c>
      <c r="H44" s="4" t="s">
        <v>122</v>
      </c>
      <c r="I44" s="4"/>
      <c r="J44" s="4"/>
      <c r="K44" s="4"/>
      <c r="L44" s="5" t="s">
        <v>123</v>
      </c>
      <c r="M44" s="119" t="s">
        <v>393</v>
      </c>
    </row>
    <row r="45" spans="1:13" ht="126" x14ac:dyDescent="0.3">
      <c r="A45" s="12">
        <v>43</v>
      </c>
      <c r="B45" s="1" t="s">
        <v>103</v>
      </c>
      <c r="C45" s="2" t="s">
        <v>124</v>
      </c>
      <c r="D45" s="3" t="s">
        <v>125</v>
      </c>
      <c r="E45" s="1" t="s">
        <v>11</v>
      </c>
      <c r="F45" s="4" t="s">
        <v>12</v>
      </c>
      <c r="G45" s="4"/>
      <c r="H45" s="4" t="s">
        <v>387</v>
      </c>
      <c r="I45" s="4"/>
      <c r="J45" s="4"/>
      <c r="K45" s="4"/>
      <c r="L45" s="5" t="s">
        <v>126</v>
      </c>
      <c r="M45" s="119" t="s">
        <v>393</v>
      </c>
    </row>
    <row r="46" spans="1:13" ht="154" x14ac:dyDescent="0.3">
      <c r="A46" s="12">
        <v>44</v>
      </c>
      <c r="B46" s="1" t="s">
        <v>103</v>
      </c>
      <c r="C46" s="2" t="s">
        <v>104</v>
      </c>
      <c r="D46" s="3" t="s">
        <v>105</v>
      </c>
      <c r="E46" s="1" t="s">
        <v>11</v>
      </c>
      <c r="F46" s="4" t="s">
        <v>397</v>
      </c>
      <c r="G46" s="4" t="s">
        <v>361</v>
      </c>
      <c r="H46" s="4" t="s">
        <v>106</v>
      </c>
      <c r="I46" s="4" t="s">
        <v>405</v>
      </c>
      <c r="J46" s="4" t="s">
        <v>403</v>
      </c>
      <c r="K46" s="4" t="s">
        <v>404</v>
      </c>
      <c r="L46" s="5" t="s">
        <v>107</v>
      </c>
      <c r="M46" s="119" t="s">
        <v>396</v>
      </c>
    </row>
    <row r="47" spans="1:13" ht="28" x14ac:dyDescent="0.3">
      <c r="A47" s="12">
        <v>45</v>
      </c>
      <c r="B47" s="1" t="s">
        <v>103</v>
      </c>
      <c r="C47" s="2" t="s">
        <v>134</v>
      </c>
      <c r="D47" s="3" t="s">
        <v>135</v>
      </c>
      <c r="E47" s="1" t="s">
        <v>11</v>
      </c>
      <c r="F47" s="4" t="s">
        <v>12</v>
      </c>
      <c r="G47" s="4"/>
      <c r="H47" s="4"/>
      <c r="I47" s="4"/>
      <c r="J47" s="4"/>
      <c r="K47" s="4"/>
      <c r="L47" s="5" t="s">
        <v>136</v>
      </c>
      <c r="M47" s="121"/>
    </row>
    <row r="48" spans="1:13" ht="98" x14ac:dyDescent="0.3">
      <c r="A48" s="12">
        <v>46</v>
      </c>
      <c r="B48" s="1" t="s">
        <v>139</v>
      </c>
      <c r="C48" s="2" t="s">
        <v>140</v>
      </c>
      <c r="D48" s="3" t="s">
        <v>141</v>
      </c>
      <c r="E48" s="1" t="s">
        <v>11</v>
      </c>
      <c r="F48" s="4" t="s">
        <v>12</v>
      </c>
      <c r="G48" s="4"/>
      <c r="H48" s="4" t="s">
        <v>142</v>
      </c>
      <c r="I48" s="4"/>
      <c r="J48" s="4"/>
      <c r="K48" s="4"/>
      <c r="L48" s="5" t="s">
        <v>143</v>
      </c>
      <c r="M48" s="119" t="s">
        <v>394</v>
      </c>
    </row>
    <row r="49" spans="1:13" ht="98" x14ac:dyDescent="0.3">
      <c r="A49" s="12">
        <v>47</v>
      </c>
      <c r="B49" s="1" t="s">
        <v>139</v>
      </c>
      <c r="C49" s="2" t="s">
        <v>144</v>
      </c>
      <c r="D49" s="3" t="s">
        <v>141</v>
      </c>
      <c r="E49" s="1" t="s">
        <v>11</v>
      </c>
      <c r="F49" s="4" t="s">
        <v>12</v>
      </c>
      <c r="G49" s="4"/>
      <c r="H49" s="4" t="s">
        <v>142</v>
      </c>
      <c r="I49" s="4"/>
      <c r="J49" s="4"/>
      <c r="K49" s="4"/>
      <c r="L49" s="5" t="s">
        <v>145</v>
      </c>
      <c r="M49" s="119" t="s">
        <v>394</v>
      </c>
    </row>
    <row r="50" spans="1:13" ht="98" x14ac:dyDescent="0.3">
      <c r="A50" s="12">
        <v>48</v>
      </c>
      <c r="B50" s="1" t="s">
        <v>139</v>
      </c>
      <c r="C50" s="2" t="s">
        <v>146</v>
      </c>
      <c r="D50" s="3" t="s">
        <v>147</v>
      </c>
      <c r="E50" s="1" t="s">
        <v>11</v>
      </c>
      <c r="F50" s="4" t="s">
        <v>12</v>
      </c>
      <c r="G50" s="4" t="s">
        <v>391</v>
      </c>
      <c r="H50" s="4" t="s">
        <v>148</v>
      </c>
      <c r="I50" s="4"/>
      <c r="J50" s="4"/>
      <c r="K50" s="4"/>
      <c r="L50" s="5" t="s">
        <v>149</v>
      </c>
      <c r="M50" s="119" t="s">
        <v>393</v>
      </c>
    </row>
    <row r="51" spans="1:13" ht="140" x14ac:dyDescent="0.3">
      <c r="A51" s="12">
        <v>49</v>
      </c>
      <c r="B51" s="1" t="s">
        <v>103</v>
      </c>
      <c r="C51" s="2" t="s">
        <v>116</v>
      </c>
      <c r="D51" s="3" t="s">
        <v>117</v>
      </c>
      <c r="E51" s="1" t="s">
        <v>11</v>
      </c>
      <c r="F51" s="4" t="s">
        <v>397</v>
      </c>
      <c r="G51" s="4" t="s">
        <v>361</v>
      </c>
      <c r="H51" s="4" t="s">
        <v>118</v>
      </c>
      <c r="I51" s="4" t="s">
        <v>406</v>
      </c>
      <c r="J51" s="4" t="s">
        <v>408</v>
      </c>
      <c r="K51" s="4" t="s">
        <v>407</v>
      </c>
      <c r="L51" s="5" t="s">
        <v>119</v>
      </c>
      <c r="M51" s="119" t="s">
        <v>396</v>
      </c>
    </row>
    <row r="52" spans="1:13" ht="140" x14ac:dyDescent="0.3">
      <c r="A52" s="12">
        <v>50</v>
      </c>
      <c r="B52" s="1" t="s">
        <v>103</v>
      </c>
      <c r="C52" s="2" t="s">
        <v>127</v>
      </c>
      <c r="D52" s="3" t="s">
        <v>128</v>
      </c>
      <c r="E52" s="1" t="s">
        <v>11</v>
      </c>
      <c r="F52" s="4" t="s">
        <v>397</v>
      </c>
      <c r="G52" s="4" t="s">
        <v>361</v>
      </c>
      <c r="H52" s="4" t="s">
        <v>129</v>
      </c>
      <c r="I52" s="4" t="s">
        <v>411</v>
      </c>
      <c r="J52" s="4" t="s">
        <v>409</v>
      </c>
      <c r="K52" s="4" t="s">
        <v>410</v>
      </c>
      <c r="L52" s="5" t="s">
        <v>130</v>
      </c>
      <c r="M52" s="119" t="s">
        <v>396</v>
      </c>
    </row>
    <row r="53" spans="1:13" ht="98" x14ac:dyDescent="0.3">
      <c r="A53" s="12">
        <v>51</v>
      </c>
      <c r="B53" s="1" t="s">
        <v>49</v>
      </c>
      <c r="C53" s="2" t="s">
        <v>50</v>
      </c>
      <c r="D53" s="3" t="s">
        <v>51</v>
      </c>
      <c r="E53" s="1" t="s">
        <v>11</v>
      </c>
      <c r="F53" s="4" t="s">
        <v>397</v>
      </c>
      <c r="G53" s="4" t="s">
        <v>361</v>
      </c>
      <c r="H53" s="4" t="s">
        <v>52</v>
      </c>
      <c r="I53" s="4" t="s">
        <v>402</v>
      </c>
      <c r="J53" s="4"/>
      <c r="K53" s="4"/>
      <c r="L53" s="5" t="s">
        <v>53</v>
      </c>
      <c r="M53" s="119" t="s">
        <v>396</v>
      </c>
    </row>
    <row r="54" spans="1:13" ht="70" x14ac:dyDescent="0.3">
      <c r="A54" s="12">
        <v>52</v>
      </c>
      <c r="B54" s="1" t="s">
        <v>139</v>
      </c>
      <c r="C54" s="2" t="s">
        <v>161</v>
      </c>
      <c r="D54" s="3" t="s">
        <v>162</v>
      </c>
      <c r="E54" s="1" t="s">
        <v>11</v>
      </c>
      <c r="F54" s="4" t="s">
        <v>12</v>
      </c>
      <c r="G54" s="4"/>
      <c r="H54" s="4" t="s">
        <v>163</v>
      </c>
      <c r="I54" s="4"/>
      <c r="J54" s="4"/>
      <c r="K54" s="4"/>
      <c r="L54" s="5" t="s">
        <v>164</v>
      </c>
      <c r="M54" s="119" t="s">
        <v>393</v>
      </c>
    </row>
    <row r="55" spans="1:13" ht="154" x14ac:dyDescent="0.3">
      <c r="A55" s="12">
        <v>53</v>
      </c>
      <c r="B55" s="1" t="s">
        <v>49</v>
      </c>
      <c r="C55" s="7" t="s">
        <v>54</v>
      </c>
      <c r="D55" s="10" t="s">
        <v>55</v>
      </c>
      <c r="E55" s="11" t="s">
        <v>11</v>
      </c>
      <c r="F55" s="4" t="s">
        <v>397</v>
      </c>
      <c r="G55" s="4" t="s">
        <v>361</v>
      </c>
      <c r="H55" s="4" t="s">
        <v>56</v>
      </c>
      <c r="I55" s="4" t="s">
        <v>402</v>
      </c>
      <c r="J55" s="4"/>
      <c r="K55" s="4"/>
      <c r="L55" s="5" t="s">
        <v>57</v>
      </c>
      <c r="M55" s="119" t="s">
        <v>396</v>
      </c>
    </row>
    <row r="56" spans="1:13" ht="98" x14ac:dyDescent="0.3">
      <c r="A56" s="12">
        <v>54</v>
      </c>
      <c r="B56" s="1" t="s">
        <v>139</v>
      </c>
      <c r="C56" s="2" t="s">
        <v>169</v>
      </c>
      <c r="D56" s="3" t="s">
        <v>170</v>
      </c>
      <c r="E56" s="1" t="s">
        <v>11</v>
      </c>
      <c r="F56" s="4" t="s">
        <v>12</v>
      </c>
      <c r="G56" s="4"/>
      <c r="H56" s="4" t="s">
        <v>171</v>
      </c>
      <c r="I56" s="4"/>
      <c r="J56" s="4"/>
      <c r="K56" s="4"/>
      <c r="L56" s="5" t="s">
        <v>172</v>
      </c>
      <c r="M56" s="119" t="s">
        <v>393</v>
      </c>
    </row>
    <row r="57" spans="1:13" ht="70" x14ac:dyDescent="0.3">
      <c r="A57" s="12">
        <v>55</v>
      </c>
      <c r="B57" s="1" t="s">
        <v>139</v>
      </c>
      <c r="C57" s="2" t="s">
        <v>173</v>
      </c>
      <c r="D57" s="3" t="s">
        <v>174</v>
      </c>
      <c r="E57" s="1" t="s">
        <v>11</v>
      </c>
      <c r="F57" s="4" t="s">
        <v>12</v>
      </c>
      <c r="G57" s="4"/>
      <c r="H57" s="4" t="s">
        <v>175</v>
      </c>
      <c r="I57" s="4"/>
      <c r="J57" s="4"/>
      <c r="K57" s="4"/>
      <c r="L57" s="5" t="s">
        <v>176</v>
      </c>
      <c r="M57" s="119" t="s">
        <v>393</v>
      </c>
    </row>
    <row r="58" spans="1:13" x14ac:dyDescent="0.3">
      <c r="A58" s="13">
        <f>SUBTOTAL(103,Table1[No])</f>
        <v>55</v>
      </c>
      <c r="B58" s="14"/>
      <c r="C58" s="15"/>
      <c r="D58" s="16"/>
      <c r="E58" s="14"/>
      <c r="F58" s="17"/>
      <c r="G58" s="17"/>
      <c r="H58" s="17">
        <f>SUBTOTAL(103,Table1[رقم الواقعة الإيجارية])</f>
        <v>32</v>
      </c>
      <c r="I58" s="17"/>
      <c r="J58" s="17"/>
      <c r="K58" s="17"/>
      <c r="L58" s="18">
        <f>SUBTOTAL(103,Table1[[الاجرائات ]])</f>
        <v>48</v>
      </c>
      <c r="M58" s="118"/>
    </row>
  </sheetData>
  <mergeCells count="1">
    <mergeCell ref="A1:C1"/>
  </mergeCells>
  <pageMargins left="0.25" right="0.25" top="0.75" bottom="0.75" header="0.3" footer="0.3"/>
  <pageSetup paperSize="9" scale="98" fitToHeight="0" orientation="landscape"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FAB53-F15D-44EB-842D-518EE8199530}">
  <sheetPr>
    <tabColor rgb="FFFFC000"/>
  </sheetPr>
  <dimension ref="A1:H300"/>
  <sheetViews>
    <sheetView rightToLeft="1" tabSelected="1" zoomScale="120" zoomScaleNormal="120" workbookViewId="0">
      <pane ySplit="2" topLeftCell="A3" activePane="bottomLeft" state="frozen"/>
      <selection pane="bottomLeft" activeCell="J3" sqref="J3"/>
    </sheetView>
  </sheetViews>
  <sheetFormatPr defaultRowHeight="14" x14ac:dyDescent="0.3"/>
  <cols>
    <col min="2" max="2" width="12.6640625" customWidth="1"/>
    <col min="3" max="3" width="14.08203125" customWidth="1"/>
    <col min="4" max="4" width="14" customWidth="1"/>
    <col min="5" max="5" width="13.08203125" customWidth="1"/>
    <col min="6" max="6" width="13.5" customWidth="1"/>
    <col min="7" max="7" width="14.4140625" hidden="1" customWidth="1"/>
    <col min="8" max="8" width="63.5" style="85" customWidth="1"/>
  </cols>
  <sheetData>
    <row r="1" spans="1:8" ht="22.5" x14ac:dyDescent="0.45">
      <c r="A1" s="133" t="s">
        <v>356</v>
      </c>
      <c r="B1" s="133"/>
      <c r="C1" s="133"/>
      <c r="D1" s="132">
        <v>46280</v>
      </c>
      <c r="E1" s="132"/>
      <c r="F1" s="132"/>
    </row>
    <row r="2" spans="1:8" ht="21" x14ac:dyDescent="0.3">
      <c r="A2" s="56" t="s">
        <v>0</v>
      </c>
      <c r="B2" s="56" t="s">
        <v>1</v>
      </c>
      <c r="C2" s="56" t="s">
        <v>2</v>
      </c>
      <c r="D2" s="56" t="s">
        <v>3</v>
      </c>
      <c r="E2" s="56" t="s">
        <v>191</v>
      </c>
      <c r="F2" s="56" t="s">
        <v>192</v>
      </c>
      <c r="G2" s="62" t="s">
        <v>193</v>
      </c>
      <c r="H2" s="86" t="s">
        <v>194</v>
      </c>
    </row>
    <row r="3" spans="1:8" ht="308" x14ac:dyDescent="0.3">
      <c r="A3" s="77">
        <v>1</v>
      </c>
      <c r="B3" s="78" t="s">
        <v>195</v>
      </c>
      <c r="C3" s="79" t="s">
        <v>196</v>
      </c>
      <c r="D3" s="79" t="s">
        <v>197</v>
      </c>
      <c r="E3" s="78" t="s">
        <v>198</v>
      </c>
      <c r="F3" s="80" t="s">
        <v>199</v>
      </c>
      <c r="G3" s="32"/>
      <c r="H3" s="81" t="s">
        <v>200</v>
      </c>
    </row>
    <row r="4" spans="1:8" ht="70" x14ac:dyDescent="0.3">
      <c r="A4" s="28">
        <v>50</v>
      </c>
      <c r="B4" s="29" t="s">
        <v>201</v>
      </c>
      <c r="C4" s="30" t="s">
        <v>202</v>
      </c>
      <c r="D4" s="30" t="s">
        <v>203</v>
      </c>
      <c r="E4" s="29" t="s">
        <v>198</v>
      </c>
      <c r="F4" s="31" t="s">
        <v>204</v>
      </c>
      <c r="G4" s="31"/>
      <c r="H4" s="33" t="s">
        <v>205</v>
      </c>
    </row>
    <row r="5" spans="1:8" ht="84" x14ac:dyDescent="0.3">
      <c r="A5" s="28">
        <v>52</v>
      </c>
      <c r="B5" s="29" t="s">
        <v>177</v>
      </c>
      <c r="C5" s="30" t="s">
        <v>206</v>
      </c>
      <c r="D5" s="30" t="s">
        <v>207</v>
      </c>
      <c r="E5" s="29" t="s">
        <v>198</v>
      </c>
      <c r="F5" s="31" t="s">
        <v>204</v>
      </c>
      <c r="G5" s="31"/>
      <c r="H5" s="33" t="s">
        <v>208</v>
      </c>
    </row>
    <row r="6" spans="1:8" ht="70" x14ac:dyDescent="0.3">
      <c r="A6" s="28">
        <v>49</v>
      </c>
      <c r="B6" s="29" t="s">
        <v>195</v>
      </c>
      <c r="C6" s="30" t="s">
        <v>209</v>
      </c>
      <c r="D6" s="30" t="s">
        <v>210</v>
      </c>
      <c r="E6" s="29" t="s">
        <v>198</v>
      </c>
      <c r="F6" s="31" t="s">
        <v>204</v>
      </c>
      <c r="G6" s="34"/>
      <c r="H6" s="33" t="s">
        <v>211</v>
      </c>
    </row>
    <row r="7" spans="1:8" ht="56" x14ac:dyDescent="0.3">
      <c r="A7" s="28">
        <v>53</v>
      </c>
      <c r="B7" s="29" t="s">
        <v>195</v>
      </c>
      <c r="C7" s="30"/>
      <c r="D7" s="30" t="s">
        <v>212</v>
      </c>
      <c r="E7" s="29" t="s">
        <v>198</v>
      </c>
      <c r="F7" s="31" t="s">
        <v>204</v>
      </c>
      <c r="G7" s="32"/>
      <c r="H7" s="33" t="s">
        <v>213</v>
      </c>
    </row>
    <row r="8" spans="1:8" ht="28" x14ac:dyDescent="0.3">
      <c r="A8" s="28">
        <v>51</v>
      </c>
      <c r="B8" s="29" t="s">
        <v>214</v>
      </c>
      <c r="C8" s="30" t="s">
        <v>215</v>
      </c>
      <c r="D8" s="30" t="s">
        <v>216</v>
      </c>
      <c r="E8" s="29" t="s">
        <v>198</v>
      </c>
      <c r="F8" s="31" t="s">
        <v>204</v>
      </c>
      <c r="G8" s="31"/>
      <c r="H8" s="33" t="s">
        <v>217</v>
      </c>
    </row>
    <row r="9" spans="1:8" ht="70" x14ac:dyDescent="0.3">
      <c r="A9" s="28">
        <v>48</v>
      </c>
      <c r="B9" s="29" t="s">
        <v>177</v>
      </c>
      <c r="C9" s="30" t="s">
        <v>206</v>
      </c>
      <c r="D9" s="30" t="s">
        <v>218</v>
      </c>
      <c r="E9" s="29" t="s">
        <v>198</v>
      </c>
      <c r="F9" s="31" t="s">
        <v>204</v>
      </c>
      <c r="G9" s="31"/>
      <c r="H9" s="33" t="s">
        <v>219</v>
      </c>
    </row>
    <row r="10" spans="1:8" ht="112" x14ac:dyDescent="0.3">
      <c r="A10" s="28">
        <v>26</v>
      </c>
      <c r="B10" s="29" t="s">
        <v>49</v>
      </c>
      <c r="C10" s="30" t="s">
        <v>235</v>
      </c>
      <c r="D10" s="30" t="s">
        <v>236</v>
      </c>
      <c r="E10" s="39" t="s">
        <v>355</v>
      </c>
      <c r="F10" s="31" t="s">
        <v>228</v>
      </c>
      <c r="G10" s="37"/>
      <c r="H10" s="33" t="s">
        <v>237</v>
      </c>
    </row>
    <row r="11" spans="1:8" ht="168" x14ac:dyDescent="0.3">
      <c r="A11" s="28">
        <v>42</v>
      </c>
      <c r="B11" s="29" t="s">
        <v>49</v>
      </c>
      <c r="C11" s="30" t="s">
        <v>239</v>
      </c>
      <c r="D11" s="30" t="s">
        <v>240</v>
      </c>
      <c r="E11" s="39" t="s">
        <v>355</v>
      </c>
      <c r="F11" s="31" t="s">
        <v>228</v>
      </c>
      <c r="G11" s="31"/>
      <c r="H11" s="33" t="s">
        <v>241</v>
      </c>
    </row>
    <row r="12" spans="1:8" x14ac:dyDescent="0.3">
      <c r="A12" s="72">
        <v>47</v>
      </c>
      <c r="B12" s="73" t="s">
        <v>8</v>
      </c>
      <c r="C12" s="74" t="s">
        <v>222</v>
      </c>
      <c r="D12" s="74" t="s">
        <v>223</v>
      </c>
      <c r="E12" s="73" t="s">
        <v>198</v>
      </c>
      <c r="F12" s="75" t="s">
        <v>204</v>
      </c>
      <c r="G12" s="37"/>
      <c r="H12" s="76" t="s">
        <v>224</v>
      </c>
    </row>
    <row r="13" spans="1:8" ht="182" x14ac:dyDescent="0.3">
      <c r="A13" s="39">
        <v>22</v>
      </c>
      <c r="B13" s="39" t="s">
        <v>225</v>
      </c>
      <c r="C13" s="40" t="s">
        <v>226</v>
      </c>
      <c r="D13" s="40" t="s">
        <v>227</v>
      </c>
      <c r="E13" s="39" t="s">
        <v>355</v>
      </c>
      <c r="F13" s="41" t="s">
        <v>228</v>
      </c>
      <c r="G13" s="63"/>
      <c r="H13" s="57" t="s">
        <v>229</v>
      </c>
    </row>
    <row r="14" spans="1:8" ht="70" x14ac:dyDescent="0.3">
      <c r="A14" s="29">
        <v>33</v>
      </c>
      <c r="B14" s="29" t="s">
        <v>177</v>
      </c>
      <c r="C14" s="30" t="s">
        <v>206</v>
      </c>
      <c r="D14" s="30" t="s">
        <v>230</v>
      </c>
      <c r="E14" s="29" t="s">
        <v>354</v>
      </c>
      <c r="F14" s="31" t="s">
        <v>228</v>
      </c>
      <c r="G14" s="64"/>
      <c r="H14" s="58" t="s">
        <v>231</v>
      </c>
    </row>
    <row r="15" spans="1:8" ht="168" x14ac:dyDescent="0.3">
      <c r="A15" s="39">
        <v>4</v>
      </c>
      <c r="B15" s="39" t="s">
        <v>195</v>
      </c>
      <c r="C15" s="40" t="s">
        <v>232</v>
      </c>
      <c r="D15" s="40" t="s">
        <v>233</v>
      </c>
      <c r="E15" s="39" t="s">
        <v>353</v>
      </c>
      <c r="F15" s="41" t="s">
        <v>228</v>
      </c>
      <c r="G15" s="65"/>
      <c r="H15" s="57" t="s">
        <v>234</v>
      </c>
    </row>
    <row r="16" spans="1:8" ht="182" x14ac:dyDescent="0.3">
      <c r="A16" s="39">
        <v>43</v>
      </c>
      <c r="B16" s="39" t="s">
        <v>49</v>
      </c>
      <c r="C16" s="40" t="s">
        <v>253</v>
      </c>
      <c r="D16" s="40" t="s">
        <v>254</v>
      </c>
      <c r="E16" s="39" t="s">
        <v>355</v>
      </c>
      <c r="F16" s="41" t="s">
        <v>228</v>
      </c>
      <c r="G16" s="69"/>
      <c r="H16" s="57" t="s">
        <v>255</v>
      </c>
    </row>
    <row r="17" spans="1:8" ht="112" x14ac:dyDescent="0.3">
      <c r="A17" s="39">
        <v>32</v>
      </c>
      <c r="B17" s="39" t="s">
        <v>177</v>
      </c>
      <c r="C17" s="40" t="s">
        <v>206</v>
      </c>
      <c r="D17" s="40" t="s">
        <v>238</v>
      </c>
      <c r="E17" s="39" t="s">
        <v>355</v>
      </c>
      <c r="F17" s="41" t="s">
        <v>228</v>
      </c>
      <c r="G17" s="65"/>
      <c r="H17" s="57" t="s">
        <v>346</v>
      </c>
    </row>
    <row r="18" spans="1:8" ht="182" x14ac:dyDescent="0.3">
      <c r="A18" s="29">
        <v>41</v>
      </c>
      <c r="B18" s="29" t="s">
        <v>49</v>
      </c>
      <c r="C18" s="30" t="s">
        <v>262</v>
      </c>
      <c r="D18" s="30" t="s">
        <v>263</v>
      </c>
      <c r="E18" s="39" t="s">
        <v>355</v>
      </c>
      <c r="F18" s="31" t="s">
        <v>228</v>
      </c>
      <c r="G18" s="67"/>
      <c r="H18" s="58" t="s">
        <v>255</v>
      </c>
    </row>
    <row r="19" spans="1:8" ht="196" x14ac:dyDescent="0.3">
      <c r="A19" s="39">
        <v>8</v>
      </c>
      <c r="B19" s="39" t="s">
        <v>225</v>
      </c>
      <c r="C19" s="40" t="s">
        <v>242</v>
      </c>
      <c r="D19" s="40" t="s">
        <v>243</v>
      </c>
      <c r="E19" s="39" t="s">
        <v>355</v>
      </c>
      <c r="F19" s="41" t="s">
        <v>228</v>
      </c>
      <c r="G19" s="68" t="s">
        <v>244</v>
      </c>
      <c r="H19" s="57" t="s">
        <v>245</v>
      </c>
    </row>
    <row r="20" spans="1:8" ht="154" x14ac:dyDescent="0.3">
      <c r="A20" s="29">
        <v>20</v>
      </c>
      <c r="B20" s="29" t="s">
        <v>225</v>
      </c>
      <c r="C20" s="30" t="s">
        <v>246</v>
      </c>
      <c r="D20" s="30" t="s">
        <v>247</v>
      </c>
      <c r="E20" s="39" t="s">
        <v>355</v>
      </c>
      <c r="F20" s="31" t="s">
        <v>228</v>
      </c>
      <c r="G20" s="66"/>
      <c r="H20" s="58" t="s">
        <v>248</v>
      </c>
    </row>
    <row r="21" spans="1:8" ht="56" x14ac:dyDescent="0.3">
      <c r="A21" s="39">
        <v>34</v>
      </c>
      <c r="B21" s="39" t="s">
        <v>177</v>
      </c>
      <c r="C21" s="40" t="s">
        <v>206</v>
      </c>
      <c r="D21" s="40" t="s">
        <v>249</v>
      </c>
      <c r="E21" s="39" t="s">
        <v>355</v>
      </c>
      <c r="F21" s="41" t="s">
        <v>228</v>
      </c>
      <c r="G21" s="65"/>
      <c r="H21" s="57" t="s">
        <v>250</v>
      </c>
    </row>
    <row r="22" spans="1:8" ht="56" x14ac:dyDescent="0.3">
      <c r="A22" s="29">
        <v>46</v>
      </c>
      <c r="B22" s="29" t="s">
        <v>177</v>
      </c>
      <c r="C22" s="30" t="s">
        <v>251</v>
      </c>
      <c r="D22" s="30" t="s">
        <v>249</v>
      </c>
      <c r="E22" s="39" t="s">
        <v>355</v>
      </c>
      <c r="F22" s="31" t="s">
        <v>228</v>
      </c>
      <c r="G22" s="64"/>
      <c r="H22" s="58" t="s">
        <v>252</v>
      </c>
    </row>
    <row r="23" spans="1:8" ht="168" x14ac:dyDescent="0.3">
      <c r="A23" s="39">
        <v>40</v>
      </c>
      <c r="B23" s="39" t="s">
        <v>49</v>
      </c>
      <c r="C23" s="40" t="s">
        <v>264</v>
      </c>
      <c r="D23" s="40" t="s">
        <v>265</v>
      </c>
      <c r="E23" s="39" t="s">
        <v>355</v>
      </c>
      <c r="F23" s="41" t="s">
        <v>228</v>
      </c>
      <c r="G23" s="69"/>
      <c r="H23" s="57" t="s">
        <v>266</v>
      </c>
    </row>
    <row r="24" spans="1:8" ht="126" x14ac:dyDescent="0.3">
      <c r="A24" s="29">
        <v>19</v>
      </c>
      <c r="B24" s="29" t="s">
        <v>225</v>
      </c>
      <c r="C24" s="30" t="s">
        <v>256</v>
      </c>
      <c r="D24" s="30" t="s">
        <v>257</v>
      </c>
      <c r="E24" s="39" t="s">
        <v>355</v>
      </c>
      <c r="F24" s="31" t="s">
        <v>228</v>
      </c>
      <c r="G24" s="66"/>
      <c r="H24" s="58" t="s">
        <v>258</v>
      </c>
    </row>
    <row r="25" spans="1:8" ht="168" x14ac:dyDescent="0.3">
      <c r="A25" s="39">
        <v>7</v>
      </c>
      <c r="B25" s="39" t="s">
        <v>214</v>
      </c>
      <c r="C25" s="40" t="s">
        <v>259</v>
      </c>
      <c r="D25" s="40" t="s">
        <v>260</v>
      </c>
      <c r="E25" s="39" t="s">
        <v>355</v>
      </c>
      <c r="F25" s="41" t="s">
        <v>228</v>
      </c>
      <c r="G25" s="63"/>
      <c r="H25" s="57" t="s">
        <v>261</v>
      </c>
    </row>
    <row r="26" spans="1:8" ht="182" x14ac:dyDescent="0.3">
      <c r="A26" s="29">
        <v>45</v>
      </c>
      <c r="B26" s="29" t="s">
        <v>49</v>
      </c>
      <c r="C26" s="30" t="s">
        <v>273</v>
      </c>
      <c r="D26" s="30" t="s">
        <v>274</v>
      </c>
      <c r="E26" s="39" t="s">
        <v>355</v>
      </c>
      <c r="F26" s="31" t="s">
        <v>228</v>
      </c>
      <c r="G26" s="67"/>
      <c r="H26" s="58" t="s">
        <v>255</v>
      </c>
    </row>
    <row r="27" spans="1:8" ht="182" x14ac:dyDescent="0.3">
      <c r="A27" s="39">
        <v>44</v>
      </c>
      <c r="B27" s="39" t="s">
        <v>49</v>
      </c>
      <c r="C27" s="40" t="s">
        <v>275</v>
      </c>
      <c r="D27" s="40" t="s">
        <v>276</v>
      </c>
      <c r="E27" s="39" t="s">
        <v>355</v>
      </c>
      <c r="F27" s="41" t="s">
        <v>228</v>
      </c>
      <c r="G27" s="69"/>
      <c r="H27" s="57" t="s">
        <v>255</v>
      </c>
    </row>
    <row r="28" spans="1:8" ht="126" x14ac:dyDescent="0.3">
      <c r="A28" s="29">
        <v>18</v>
      </c>
      <c r="B28" s="29" t="s">
        <v>225</v>
      </c>
      <c r="C28" s="30" t="s">
        <v>267</v>
      </c>
      <c r="D28" s="30" t="s">
        <v>268</v>
      </c>
      <c r="E28" s="39" t="s">
        <v>355</v>
      </c>
      <c r="F28" s="31" t="s">
        <v>228</v>
      </c>
      <c r="G28" s="66"/>
      <c r="H28" s="58" t="s">
        <v>269</v>
      </c>
    </row>
    <row r="29" spans="1:8" ht="126" x14ac:dyDescent="0.3">
      <c r="A29" s="39">
        <v>17</v>
      </c>
      <c r="B29" s="39" t="s">
        <v>225</v>
      </c>
      <c r="C29" s="40" t="s">
        <v>270</v>
      </c>
      <c r="D29" s="40" t="s">
        <v>271</v>
      </c>
      <c r="E29" s="39" t="s">
        <v>355</v>
      </c>
      <c r="F29" s="41" t="s">
        <v>228</v>
      </c>
      <c r="G29" s="63"/>
      <c r="H29" s="57" t="s">
        <v>272</v>
      </c>
    </row>
    <row r="30" spans="1:8" ht="358.5" customHeight="1" x14ac:dyDescent="0.3">
      <c r="A30" s="39">
        <v>25</v>
      </c>
      <c r="B30" s="39" t="s">
        <v>49</v>
      </c>
      <c r="C30" s="40" t="s">
        <v>303</v>
      </c>
      <c r="D30" s="40" t="s">
        <v>304</v>
      </c>
      <c r="E30" s="39" t="s">
        <v>355</v>
      </c>
      <c r="F30" s="41" t="s">
        <v>228</v>
      </c>
      <c r="G30" s="65" t="s">
        <v>305</v>
      </c>
      <c r="H30" s="57" t="s">
        <v>306</v>
      </c>
    </row>
    <row r="31" spans="1:8" ht="182" x14ac:dyDescent="0.3">
      <c r="A31" s="29">
        <v>36</v>
      </c>
      <c r="B31" s="29" t="s">
        <v>49</v>
      </c>
      <c r="C31" s="30" t="s">
        <v>325</v>
      </c>
      <c r="D31" s="30" t="s">
        <v>326</v>
      </c>
      <c r="E31" s="39" t="s">
        <v>355</v>
      </c>
      <c r="F31" s="31" t="s">
        <v>228</v>
      </c>
      <c r="G31" s="67"/>
      <c r="H31" s="58" t="s">
        <v>327</v>
      </c>
    </row>
    <row r="32" spans="1:8" ht="126" x14ac:dyDescent="0.3">
      <c r="A32" s="29">
        <v>21</v>
      </c>
      <c r="B32" s="29" t="s">
        <v>225</v>
      </c>
      <c r="C32" s="30" t="s">
        <v>277</v>
      </c>
      <c r="D32" s="30" t="s">
        <v>278</v>
      </c>
      <c r="E32" s="39" t="s">
        <v>355</v>
      </c>
      <c r="F32" s="31" t="s">
        <v>228</v>
      </c>
      <c r="G32" s="66"/>
      <c r="H32" s="58" t="s">
        <v>279</v>
      </c>
    </row>
    <row r="33" spans="1:8" ht="126" x14ac:dyDescent="0.3">
      <c r="A33" s="39">
        <v>31</v>
      </c>
      <c r="B33" s="39" t="s">
        <v>177</v>
      </c>
      <c r="C33" s="40" t="s">
        <v>206</v>
      </c>
      <c r="D33" s="40" t="s">
        <v>280</v>
      </c>
      <c r="E33" s="39" t="s">
        <v>354</v>
      </c>
      <c r="F33" s="41" t="s">
        <v>228</v>
      </c>
      <c r="G33" s="65"/>
      <c r="H33" s="57" t="s">
        <v>347</v>
      </c>
    </row>
    <row r="34" spans="1:8" ht="56" x14ac:dyDescent="0.3">
      <c r="A34" s="29">
        <v>30</v>
      </c>
      <c r="B34" s="29" t="s">
        <v>177</v>
      </c>
      <c r="C34" s="30" t="s">
        <v>206</v>
      </c>
      <c r="D34" s="30" t="s">
        <v>281</v>
      </c>
      <c r="E34" s="39" t="s">
        <v>355</v>
      </c>
      <c r="F34" s="31" t="s">
        <v>228</v>
      </c>
      <c r="G34" s="64"/>
      <c r="H34" s="58" t="s">
        <v>282</v>
      </c>
    </row>
    <row r="35" spans="1:8" ht="82.5" customHeight="1" x14ac:dyDescent="0.3">
      <c r="A35" s="39">
        <v>29</v>
      </c>
      <c r="B35" s="39" t="s">
        <v>177</v>
      </c>
      <c r="C35" s="40" t="s">
        <v>206</v>
      </c>
      <c r="D35" s="40" t="s">
        <v>283</v>
      </c>
      <c r="E35" s="39" t="s">
        <v>355</v>
      </c>
      <c r="F35" s="41" t="s">
        <v>228</v>
      </c>
      <c r="G35" s="65"/>
      <c r="H35" s="57" t="s">
        <v>282</v>
      </c>
    </row>
    <row r="36" spans="1:8" ht="126" x14ac:dyDescent="0.3">
      <c r="A36" s="29">
        <v>23</v>
      </c>
      <c r="B36" s="29" t="s">
        <v>225</v>
      </c>
      <c r="C36" s="30" t="s">
        <v>284</v>
      </c>
      <c r="D36" s="30" t="s">
        <v>285</v>
      </c>
      <c r="E36" s="39" t="s">
        <v>355</v>
      </c>
      <c r="F36" s="31" t="s">
        <v>228</v>
      </c>
      <c r="G36" s="66"/>
      <c r="H36" s="58" t="s">
        <v>286</v>
      </c>
    </row>
    <row r="37" spans="1:8" ht="182" x14ac:dyDescent="0.3">
      <c r="A37" s="39">
        <v>14</v>
      </c>
      <c r="B37" s="39" t="s">
        <v>225</v>
      </c>
      <c r="C37" s="40" t="s">
        <v>287</v>
      </c>
      <c r="D37" s="40" t="s">
        <v>288</v>
      </c>
      <c r="E37" s="39" t="s">
        <v>355</v>
      </c>
      <c r="F37" s="41" t="s">
        <v>228</v>
      </c>
      <c r="G37" s="63"/>
      <c r="H37" s="57" t="s">
        <v>289</v>
      </c>
    </row>
    <row r="38" spans="1:8" ht="168" x14ac:dyDescent="0.3">
      <c r="A38" s="29">
        <v>13</v>
      </c>
      <c r="B38" s="29" t="s">
        <v>225</v>
      </c>
      <c r="C38" s="30" t="s">
        <v>290</v>
      </c>
      <c r="D38" s="30" t="s">
        <v>291</v>
      </c>
      <c r="E38" s="39" t="s">
        <v>355</v>
      </c>
      <c r="F38" s="31" t="s">
        <v>228</v>
      </c>
      <c r="G38" s="66"/>
      <c r="H38" s="58" t="s">
        <v>292</v>
      </c>
    </row>
    <row r="39" spans="1:8" ht="140" x14ac:dyDescent="0.3">
      <c r="A39" s="39">
        <v>28</v>
      </c>
      <c r="B39" s="39" t="s">
        <v>177</v>
      </c>
      <c r="C39" s="40" t="s">
        <v>206</v>
      </c>
      <c r="D39" s="40" t="s">
        <v>293</v>
      </c>
      <c r="E39" s="39" t="s">
        <v>355</v>
      </c>
      <c r="F39" s="41" t="s">
        <v>228</v>
      </c>
      <c r="G39" s="65"/>
      <c r="H39" s="57" t="s">
        <v>348</v>
      </c>
    </row>
    <row r="40" spans="1:8" ht="168" x14ac:dyDescent="0.3">
      <c r="A40" s="29">
        <v>12</v>
      </c>
      <c r="B40" s="29" t="s">
        <v>225</v>
      </c>
      <c r="C40" s="30" t="s">
        <v>294</v>
      </c>
      <c r="D40" s="30" t="s">
        <v>295</v>
      </c>
      <c r="E40" s="39" t="s">
        <v>355</v>
      </c>
      <c r="F40" s="31" t="s">
        <v>228</v>
      </c>
      <c r="G40" s="66"/>
      <c r="H40" s="58" t="s">
        <v>296</v>
      </c>
    </row>
    <row r="41" spans="1:8" ht="168" x14ac:dyDescent="0.3">
      <c r="A41" s="39">
        <v>11</v>
      </c>
      <c r="B41" s="39" t="s">
        <v>225</v>
      </c>
      <c r="C41" s="40" t="s">
        <v>297</v>
      </c>
      <c r="D41" s="40" t="s">
        <v>298</v>
      </c>
      <c r="E41" s="39" t="s">
        <v>355</v>
      </c>
      <c r="F41" s="41" t="s">
        <v>228</v>
      </c>
      <c r="G41" s="63"/>
      <c r="H41" s="57" t="s">
        <v>299</v>
      </c>
    </row>
    <row r="42" spans="1:8" ht="182" x14ac:dyDescent="0.3">
      <c r="A42" s="29">
        <v>38</v>
      </c>
      <c r="B42" s="29" t="s">
        <v>49</v>
      </c>
      <c r="C42" s="30" t="s">
        <v>331</v>
      </c>
      <c r="D42" s="30" t="s">
        <v>332</v>
      </c>
      <c r="E42" s="39" t="s">
        <v>355</v>
      </c>
      <c r="F42" s="31" t="s">
        <v>228</v>
      </c>
      <c r="G42" s="67"/>
      <c r="H42" s="58" t="s">
        <v>333</v>
      </c>
    </row>
    <row r="43" spans="1:8" ht="168" x14ac:dyDescent="0.3">
      <c r="A43" s="39">
        <v>9</v>
      </c>
      <c r="B43" s="39" t="s">
        <v>225</v>
      </c>
      <c r="C43" s="40" t="s">
        <v>328</v>
      </c>
      <c r="D43" s="40" t="s">
        <v>329</v>
      </c>
      <c r="E43" s="39" t="s">
        <v>355</v>
      </c>
      <c r="F43" s="41" t="s">
        <v>228</v>
      </c>
      <c r="G43" s="63"/>
      <c r="H43" s="57" t="s">
        <v>330</v>
      </c>
    </row>
    <row r="44" spans="1:8" ht="252" x14ac:dyDescent="0.3">
      <c r="A44" s="29">
        <v>5</v>
      </c>
      <c r="B44" s="29" t="s">
        <v>195</v>
      </c>
      <c r="C44" s="30" t="s">
        <v>209</v>
      </c>
      <c r="D44" s="30" t="s">
        <v>307</v>
      </c>
      <c r="E44" s="29" t="s">
        <v>353</v>
      </c>
      <c r="F44" s="31" t="s">
        <v>228</v>
      </c>
      <c r="G44" s="64"/>
      <c r="H44" s="58" t="s">
        <v>308</v>
      </c>
    </row>
    <row r="45" spans="1:8" ht="280" x14ac:dyDescent="0.3">
      <c r="A45" s="39">
        <v>6</v>
      </c>
      <c r="B45" s="39" t="s">
        <v>195</v>
      </c>
      <c r="C45" s="40" t="s">
        <v>309</v>
      </c>
      <c r="D45" s="40" t="s">
        <v>310</v>
      </c>
      <c r="E45" s="39" t="s">
        <v>354</v>
      </c>
      <c r="F45" s="41" t="s">
        <v>18</v>
      </c>
      <c r="G45" s="65"/>
      <c r="H45" s="57" t="s">
        <v>343</v>
      </c>
    </row>
    <row r="46" spans="1:8" ht="210" x14ac:dyDescent="0.3">
      <c r="A46" s="29">
        <v>10</v>
      </c>
      <c r="B46" s="29" t="s">
        <v>225</v>
      </c>
      <c r="C46" s="30" t="s">
        <v>311</v>
      </c>
      <c r="D46" s="30" t="s">
        <v>312</v>
      </c>
      <c r="E46" s="39" t="s">
        <v>355</v>
      </c>
      <c r="F46" s="31" t="s">
        <v>228</v>
      </c>
      <c r="G46" s="66"/>
      <c r="H46" s="58" t="s">
        <v>426</v>
      </c>
    </row>
    <row r="47" spans="1:8" ht="252" x14ac:dyDescent="0.3">
      <c r="A47" s="39">
        <v>3</v>
      </c>
      <c r="B47" s="39" t="s">
        <v>195</v>
      </c>
      <c r="C47" s="40" t="s">
        <v>209</v>
      </c>
      <c r="D47" s="40" t="s">
        <v>314</v>
      </c>
      <c r="E47" s="39" t="s">
        <v>353</v>
      </c>
      <c r="F47" s="41" t="s">
        <v>228</v>
      </c>
      <c r="G47" s="65"/>
      <c r="H47" s="57" t="s">
        <v>349</v>
      </c>
    </row>
    <row r="48" spans="1:8" ht="56" x14ac:dyDescent="0.3">
      <c r="A48" s="29">
        <v>27</v>
      </c>
      <c r="B48" s="29" t="s">
        <v>177</v>
      </c>
      <c r="C48" s="30" t="s">
        <v>206</v>
      </c>
      <c r="D48" s="30" t="s">
        <v>316</v>
      </c>
      <c r="E48" s="39" t="s">
        <v>355</v>
      </c>
      <c r="F48" s="31" t="s">
        <v>228</v>
      </c>
      <c r="G48" s="64"/>
      <c r="H48" s="58" t="s">
        <v>317</v>
      </c>
    </row>
    <row r="49" spans="1:8" ht="210" x14ac:dyDescent="0.3">
      <c r="A49" s="39">
        <v>2</v>
      </c>
      <c r="B49" s="39" t="s">
        <v>195</v>
      </c>
      <c r="C49" s="40" t="s">
        <v>209</v>
      </c>
      <c r="D49" s="40" t="s">
        <v>318</v>
      </c>
      <c r="E49" s="39" t="s">
        <v>353</v>
      </c>
      <c r="F49" s="41" t="s">
        <v>228</v>
      </c>
      <c r="G49" s="65"/>
      <c r="H49" s="57" t="s">
        <v>319</v>
      </c>
    </row>
    <row r="50" spans="1:8" ht="28" x14ac:dyDescent="0.3">
      <c r="A50" s="29">
        <v>35</v>
      </c>
      <c r="B50" s="29" t="s">
        <v>195</v>
      </c>
      <c r="C50" s="30" t="s">
        <v>209</v>
      </c>
      <c r="D50" s="30" t="s">
        <v>320</v>
      </c>
      <c r="E50" s="39" t="s">
        <v>355</v>
      </c>
      <c r="F50" s="31" t="s">
        <v>228</v>
      </c>
      <c r="G50" s="64"/>
      <c r="H50" s="58" t="s">
        <v>321</v>
      </c>
    </row>
    <row r="51" spans="1:8" ht="154" x14ac:dyDescent="0.3">
      <c r="A51" s="39">
        <v>24</v>
      </c>
      <c r="B51" s="39" t="s">
        <v>225</v>
      </c>
      <c r="C51" s="40" t="s">
        <v>322</v>
      </c>
      <c r="D51" s="40" t="s">
        <v>323</v>
      </c>
      <c r="E51" s="39" t="s">
        <v>355</v>
      </c>
      <c r="F51" s="41" t="s">
        <v>228</v>
      </c>
      <c r="G51" s="63"/>
      <c r="H51" s="57" t="s">
        <v>324</v>
      </c>
    </row>
    <row r="52" spans="1:8" ht="16" x14ac:dyDescent="0.5">
      <c r="A52" s="29"/>
      <c r="B52" s="29" t="s">
        <v>49</v>
      </c>
      <c r="C52" s="35"/>
      <c r="D52" s="36" t="s">
        <v>220</v>
      </c>
      <c r="E52" s="29" t="s">
        <v>198</v>
      </c>
      <c r="F52" s="31" t="s">
        <v>204</v>
      </c>
      <c r="G52" s="67"/>
      <c r="H52" s="58"/>
    </row>
    <row r="53" spans="1:8" ht="16" x14ac:dyDescent="0.5">
      <c r="A53" s="29"/>
      <c r="B53" s="29" t="s">
        <v>49</v>
      </c>
      <c r="C53" s="35"/>
      <c r="D53" s="36" t="s">
        <v>221</v>
      </c>
      <c r="E53" s="29" t="s">
        <v>198</v>
      </c>
      <c r="F53" s="31" t="s">
        <v>204</v>
      </c>
      <c r="G53" s="84"/>
      <c r="H53" s="58"/>
    </row>
    <row r="54" spans="1:8" ht="16" x14ac:dyDescent="0.5">
      <c r="A54" s="29"/>
      <c r="B54" s="29" t="s">
        <v>49</v>
      </c>
      <c r="C54" s="35" t="s">
        <v>300</v>
      </c>
      <c r="D54" s="36" t="s">
        <v>301</v>
      </c>
      <c r="E54" s="39" t="s">
        <v>355</v>
      </c>
      <c r="F54" s="31" t="s">
        <v>18</v>
      </c>
      <c r="G54" s="67"/>
      <c r="H54" s="58" t="s">
        <v>302</v>
      </c>
    </row>
    <row r="55" spans="1:8" ht="140" x14ac:dyDescent="0.3">
      <c r="A55" s="39">
        <v>16</v>
      </c>
      <c r="B55" s="39" t="s">
        <v>225</v>
      </c>
      <c r="C55" s="40" t="s">
        <v>334</v>
      </c>
      <c r="D55" s="40" t="s">
        <v>335</v>
      </c>
      <c r="E55" s="39" t="s">
        <v>355</v>
      </c>
      <c r="F55" s="41" t="s">
        <v>228</v>
      </c>
      <c r="G55" s="70"/>
      <c r="H55" s="57" t="s">
        <v>336</v>
      </c>
    </row>
    <row r="56" spans="1:8" ht="126" x14ac:dyDescent="0.3">
      <c r="A56" s="29">
        <v>15</v>
      </c>
      <c r="B56" s="29" t="s">
        <v>225</v>
      </c>
      <c r="C56" s="30" t="s">
        <v>337</v>
      </c>
      <c r="D56" s="30" t="s">
        <v>338</v>
      </c>
      <c r="E56" s="39" t="s">
        <v>355</v>
      </c>
      <c r="F56" s="31" t="s">
        <v>228</v>
      </c>
      <c r="G56" s="71"/>
      <c r="H56" s="58" t="s">
        <v>339</v>
      </c>
    </row>
    <row r="57" spans="1:8" x14ac:dyDescent="0.3">
      <c r="A57" s="83" t="s">
        <v>190</v>
      </c>
      <c r="B57" s="83">
        <f>SUBTOTAL(103,Table2[المدينة])</f>
        <v>54</v>
      </c>
      <c r="C57" s="83">
        <f>SUBTOTAL(103,Table2[رقم الارض])</f>
        <v>51</v>
      </c>
      <c r="D57" s="83"/>
      <c r="E57" s="83"/>
      <c r="F57" s="83"/>
      <c r="G57" s="83"/>
      <c r="H57" s="87">
        <f>SUBTOTAL(103,Table2[الإجراءات])</f>
        <v>52</v>
      </c>
    </row>
    <row r="300" spans="8:8" x14ac:dyDescent="0.3">
      <c r="H300" s="85">
        <f>C59</f>
        <v>0</v>
      </c>
    </row>
  </sheetData>
  <mergeCells count="2">
    <mergeCell ref="D1:F1"/>
    <mergeCell ref="A1:C1"/>
  </mergeCells>
  <pageMargins left="0.25" right="0.25" top="0.75" bottom="0.75" header="0.3" footer="0.3"/>
  <pageSetup paperSize="9" fitToWidth="0" fitToHeight="0" orientation="landscape" r:id="rId1"/>
  <rowBreaks count="1" manualBreakCount="1">
    <brk id="57" max="16383" man="1"/>
  </rowBreaks>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8E0EF-A20C-48BE-98DB-0BB3214C917B}">
  <dimension ref="A1:G42"/>
  <sheetViews>
    <sheetView rightToLeft="1" topLeftCell="A14" zoomScale="120" zoomScaleNormal="120" workbookViewId="0">
      <selection activeCell="J21" sqref="J21"/>
    </sheetView>
  </sheetViews>
  <sheetFormatPr defaultRowHeight="14" x14ac:dyDescent="0.3"/>
  <cols>
    <col min="1" max="1" width="7.58203125" customWidth="1"/>
    <col min="3" max="3" width="26.58203125" customWidth="1"/>
    <col min="4" max="4" width="22.9140625" customWidth="1"/>
    <col min="5" max="5" width="15.1640625" customWidth="1"/>
    <col min="6" max="6" width="12.1640625" customWidth="1"/>
    <col min="7" max="7" width="30.9140625" customWidth="1"/>
  </cols>
  <sheetData>
    <row r="1" spans="1:7" ht="18.5" x14ac:dyDescent="0.3">
      <c r="A1" s="91" t="s">
        <v>0</v>
      </c>
      <c r="B1" s="88" t="s">
        <v>1</v>
      </c>
      <c r="C1" s="88" t="s">
        <v>2</v>
      </c>
      <c r="D1" s="89" t="s">
        <v>3</v>
      </c>
      <c r="E1" s="89" t="s">
        <v>4</v>
      </c>
      <c r="F1" s="88" t="s">
        <v>5</v>
      </c>
      <c r="G1" s="90" t="s">
        <v>358</v>
      </c>
    </row>
    <row r="2" spans="1:7" ht="23" hidden="1" x14ac:dyDescent="0.3">
      <c r="A2" s="100">
        <v>1</v>
      </c>
      <c r="B2" s="96" t="s">
        <v>8</v>
      </c>
      <c r="C2" s="97" t="s">
        <v>26</v>
      </c>
      <c r="D2" s="98" t="s">
        <v>27</v>
      </c>
      <c r="E2" s="96" t="s">
        <v>11</v>
      </c>
      <c r="F2" s="99" t="s">
        <v>12</v>
      </c>
      <c r="G2" s="101">
        <v>30686830850</v>
      </c>
    </row>
    <row r="3" spans="1:7" hidden="1" x14ac:dyDescent="0.3">
      <c r="A3" s="12">
        <v>2</v>
      </c>
      <c r="B3" s="1" t="s">
        <v>49</v>
      </c>
      <c r="C3" s="2" t="s">
        <v>58</v>
      </c>
      <c r="D3" s="3" t="s">
        <v>59</v>
      </c>
      <c r="E3" s="1" t="s">
        <v>11</v>
      </c>
      <c r="F3" s="4" t="s">
        <v>12</v>
      </c>
      <c r="G3" s="4" t="s">
        <v>362</v>
      </c>
    </row>
    <row r="4" spans="1:7" hidden="1" x14ac:dyDescent="0.3">
      <c r="A4" s="12">
        <v>3</v>
      </c>
      <c r="B4" s="1" t="s">
        <v>49</v>
      </c>
      <c r="C4" s="2" t="s">
        <v>73</v>
      </c>
      <c r="D4" s="3" t="s">
        <v>74</v>
      </c>
      <c r="E4" s="1" t="s">
        <v>11</v>
      </c>
      <c r="F4" s="4" t="s">
        <v>12</v>
      </c>
      <c r="G4" s="4" t="s">
        <v>363</v>
      </c>
    </row>
    <row r="5" spans="1:7" hidden="1" x14ac:dyDescent="0.3">
      <c r="A5" s="100">
        <v>4</v>
      </c>
      <c r="B5" s="1" t="s">
        <v>103</v>
      </c>
      <c r="C5" s="2" t="s">
        <v>124</v>
      </c>
      <c r="D5" s="3" t="s">
        <v>125</v>
      </c>
      <c r="E5" s="1" t="s">
        <v>11</v>
      </c>
      <c r="F5" s="4" t="s">
        <v>12</v>
      </c>
      <c r="G5" s="4" t="s">
        <v>364</v>
      </c>
    </row>
    <row r="6" spans="1:7" hidden="1" x14ac:dyDescent="0.3">
      <c r="A6" s="12">
        <v>5</v>
      </c>
      <c r="B6" s="1" t="s">
        <v>8</v>
      </c>
      <c r="C6" s="2" t="s">
        <v>20</v>
      </c>
      <c r="D6" s="3" t="s">
        <v>21</v>
      </c>
      <c r="E6" s="1" t="s">
        <v>11</v>
      </c>
      <c r="F6" s="4" t="s">
        <v>12</v>
      </c>
      <c r="G6" s="4" t="s">
        <v>365</v>
      </c>
    </row>
    <row r="7" spans="1:7" hidden="1" x14ac:dyDescent="0.3">
      <c r="A7" s="12">
        <v>6</v>
      </c>
      <c r="B7" s="1" t="s">
        <v>49</v>
      </c>
      <c r="C7" s="2" t="s">
        <v>66</v>
      </c>
      <c r="D7" s="3" t="s">
        <v>67</v>
      </c>
      <c r="E7" s="1" t="s">
        <v>11</v>
      </c>
      <c r="F7" s="4" t="s">
        <v>12</v>
      </c>
      <c r="G7" s="4" t="s">
        <v>366</v>
      </c>
    </row>
    <row r="8" spans="1:7" hidden="1" x14ac:dyDescent="0.3">
      <c r="A8" s="100">
        <v>7</v>
      </c>
      <c r="B8" s="1" t="s">
        <v>49</v>
      </c>
      <c r="C8" s="2" t="s">
        <v>69</v>
      </c>
      <c r="D8" s="3" t="s">
        <v>70</v>
      </c>
      <c r="E8" s="1" t="s">
        <v>11</v>
      </c>
      <c r="F8" s="4" t="s">
        <v>12</v>
      </c>
      <c r="G8" s="4" t="s">
        <v>367</v>
      </c>
    </row>
    <row r="9" spans="1:7" hidden="1" x14ac:dyDescent="0.3">
      <c r="A9" s="12">
        <v>8</v>
      </c>
      <c r="B9" s="1" t="s">
        <v>139</v>
      </c>
      <c r="C9" s="2" t="s">
        <v>140</v>
      </c>
      <c r="D9" s="3" t="s">
        <v>141</v>
      </c>
      <c r="E9" s="1" t="s">
        <v>11</v>
      </c>
      <c r="F9" s="4" t="s">
        <v>12</v>
      </c>
      <c r="G9" s="4" t="s">
        <v>368</v>
      </c>
    </row>
    <row r="10" spans="1:7" x14ac:dyDescent="0.3">
      <c r="A10" s="12">
        <v>9</v>
      </c>
      <c r="B10" s="1" t="s">
        <v>139</v>
      </c>
      <c r="C10" s="2" t="s">
        <v>165</v>
      </c>
      <c r="D10" s="3" t="s">
        <v>166</v>
      </c>
      <c r="E10" s="1" t="s">
        <v>11</v>
      </c>
      <c r="F10" s="4" t="s">
        <v>12</v>
      </c>
      <c r="G10" s="4" t="s">
        <v>361</v>
      </c>
    </row>
    <row r="11" spans="1:7" x14ac:dyDescent="0.3">
      <c r="A11" s="100">
        <v>10</v>
      </c>
      <c r="B11" s="1" t="s">
        <v>103</v>
      </c>
      <c r="C11" s="2" t="s">
        <v>104</v>
      </c>
      <c r="D11" s="3" t="s">
        <v>389</v>
      </c>
      <c r="E11" s="1" t="s">
        <v>11</v>
      </c>
      <c r="F11" s="4" t="s">
        <v>12</v>
      </c>
      <c r="G11" s="4" t="s">
        <v>361</v>
      </c>
    </row>
    <row r="12" spans="1:7" x14ac:dyDescent="0.3">
      <c r="A12" s="12">
        <v>11</v>
      </c>
      <c r="B12" s="1" t="s">
        <v>139</v>
      </c>
      <c r="C12" s="2" t="s">
        <v>150</v>
      </c>
      <c r="D12" s="3" t="s">
        <v>151</v>
      </c>
      <c r="E12" s="1" t="s">
        <v>11</v>
      </c>
      <c r="F12" s="4" t="s">
        <v>12</v>
      </c>
      <c r="G12" s="4" t="s">
        <v>361</v>
      </c>
    </row>
    <row r="13" spans="1:7" x14ac:dyDescent="0.3">
      <c r="A13" s="12">
        <v>12</v>
      </c>
      <c r="B13" s="1" t="s">
        <v>139</v>
      </c>
      <c r="C13" s="2" t="s">
        <v>153</v>
      </c>
      <c r="D13" s="3" t="s">
        <v>154</v>
      </c>
      <c r="E13" s="1" t="s">
        <v>11</v>
      </c>
      <c r="F13" s="4" t="s">
        <v>12</v>
      </c>
      <c r="G13" s="4" t="s">
        <v>361</v>
      </c>
    </row>
    <row r="14" spans="1:7" x14ac:dyDescent="0.3">
      <c r="A14" s="100">
        <v>13</v>
      </c>
      <c r="B14" s="1" t="s">
        <v>139</v>
      </c>
      <c r="C14" s="2" t="s">
        <v>157</v>
      </c>
      <c r="D14" s="3" t="s">
        <v>158</v>
      </c>
      <c r="E14" s="1" t="s">
        <v>11</v>
      </c>
      <c r="F14" s="4" t="s">
        <v>12</v>
      </c>
      <c r="G14" s="4" t="s">
        <v>361</v>
      </c>
    </row>
    <row r="15" spans="1:7" x14ac:dyDescent="0.3">
      <c r="A15" s="12">
        <v>21</v>
      </c>
      <c r="B15" s="1" t="s">
        <v>103</v>
      </c>
      <c r="C15" s="2" t="s">
        <v>127</v>
      </c>
      <c r="D15" s="3" t="s">
        <v>128</v>
      </c>
      <c r="E15" s="1" t="s">
        <v>11</v>
      </c>
      <c r="F15" s="4" t="s">
        <v>12</v>
      </c>
      <c r="G15" s="4" t="s">
        <v>361</v>
      </c>
    </row>
    <row r="16" spans="1:7" x14ac:dyDescent="0.3">
      <c r="A16" s="12">
        <v>23</v>
      </c>
      <c r="B16" s="1" t="s">
        <v>103</v>
      </c>
      <c r="C16" s="2" t="s">
        <v>116</v>
      </c>
      <c r="D16" s="3" t="s">
        <v>117</v>
      </c>
      <c r="E16" s="1" t="s">
        <v>11</v>
      </c>
      <c r="F16" s="4" t="s">
        <v>12</v>
      </c>
      <c r="G16" s="4" t="s">
        <v>361</v>
      </c>
    </row>
    <row r="17" spans="1:7" x14ac:dyDescent="0.3">
      <c r="A17" s="12">
        <v>14</v>
      </c>
      <c r="B17" s="1" t="s">
        <v>49</v>
      </c>
      <c r="C17" s="2" t="s">
        <v>80</v>
      </c>
      <c r="D17" s="3" t="s">
        <v>81</v>
      </c>
      <c r="E17" s="1" t="s">
        <v>11</v>
      </c>
      <c r="F17" s="4" t="s">
        <v>12</v>
      </c>
      <c r="G17" s="4" t="s">
        <v>360</v>
      </c>
    </row>
    <row r="18" spans="1:7" x14ac:dyDescent="0.3">
      <c r="A18" s="12">
        <v>15</v>
      </c>
      <c r="B18" s="1" t="s">
        <v>103</v>
      </c>
      <c r="C18" s="2" t="s">
        <v>120</v>
      </c>
      <c r="D18" s="3" t="s">
        <v>121</v>
      </c>
      <c r="E18" s="1" t="s">
        <v>11</v>
      </c>
      <c r="F18" s="4" t="s">
        <v>12</v>
      </c>
      <c r="G18" s="4" t="s">
        <v>360</v>
      </c>
    </row>
    <row r="19" spans="1:7" x14ac:dyDescent="0.3">
      <c r="A19" s="100">
        <v>16</v>
      </c>
      <c r="B19" s="1" t="s">
        <v>139</v>
      </c>
      <c r="C19" s="2" t="s">
        <v>146</v>
      </c>
      <c r="D19" s="3" t="s">
        <v>147</v>
      </c>
      <c r="E19" s="1" t="s">
        <v>11</v>
      </c>
      <c r="F19" s="4" t="s">
        <v>12</v>
      </c>
      <c r="G19" s="4" t="s">
        <v>360</v>
      </c>
    </row>
    <row r="20" spans="1:7" x14ac:dyDescent="0.3">
      <c r="A20" s="12">
        <v>17</v>
      </c>
      <c r="B20" s="1" t="s">
        <v>103</v>
      </c>
      <c r="C20" s="2" t="s">
        <v>108</v>
      </c>
      <c r="D20" s="3" t="s">
        <v>109</v>
      </c>
      <c r="E20" s="1" t="s">
        <v>11</v>
      </c>
      <c r="F20" s="4" t="s">
        <v>12</v>
      </c>
      <c r="G20" s="4" t="s">
        <v>360</v>
      </c>
    </row>
    <row r="21" spans="1:7" x14ac:dyDescent="0.3">
      <c r="A21" s="12">
        <v>18</v>
      </c>
      <c r="B21" s="1" t="s">
        <v>49</v>
      </c>
      <c r="C21" s="2" t="s">
        <v>77</v>
      </c>
      <c r="D21" s="3" t="s">
        <v>78</v>
      </c>
      <c r="E21" s="1" t="s">
        <v>11</v>
      </c>
      <c r="F21" s="4" t="s">
        <v>12</v>
      </c>
      <c r="G21" s="4" t="s">
        <v>360</v>
      </c>
    </row>
    <row r="22" spans="1:7" x14ac:dyDescent="0.3">
      <c r="A22" s="100">
        <v>19</v>
      </c>
      <c r="B22" s="1" t="s">
        <v>49</v>
      </c>
      <c r="C22" s="2" t="s">
        <v>50</v>
      </c>
      <c r="D22" s="3" t="s">
        <v>51</v>
      </c>
      <c r="E22" s="1" t="s">
        <v>11</v>
      </c>
      <c r="F22" s="4" t="s">
        <v>12</v>
      </c>
      <c r="G22" s="4" t="s">
        <v>360</v>
      </c>
    </row>
    <row r="23" spans="1:7" ht="28" x14ac:dyDescent="0.3">
      <c r="A23" s="12">
        <v>20</v>
      </c>
      <c r="B23" s="1" t="s">
        <v>49</v>
      </c>
      <c r="C23" s="2" t="s">
        <v>62</v>
      </c>
      <c r="D23" s="9" t="s">
        <v>63</v>
      </c>
      <c r="E23" s="1" t="s">
        <v>11</v>
      </c>
      <c r="F23" s="4" t="s">
        <v>12</v>
      </c>
      <c r="G23" s="4" t="s">
        <v>360</v>
      </c>
    </row>
    <row r="24" spans="1:7" x14ac:dyDescent="0.3">
      <c r="A24" s="100">
        <v>22</v>
      </c>
      <c r="B24" s="1" t="s">
        <v>49</v>
      </c>
      <c r="C24" s="2" t="s">
        <v>54</v>
      </c>
      <c r="D24" s="3" t="s">
        <v>55</v>
      </c>
      <c r="E24" s="1" t="s">
        <v>11</v>
      </c>
      <c r="F24" s="4" t="s">
        <v>12</v>
      </c>
      <c r="G24" s="4" t="s">
        <v>360</v>
      </c>
    </row>
    <row r="25" spans="1:7" hidden="1" x14ac:dyDescent="0.3">
      <c r="A25" s="12">
        <v>24</v>
      </c>
      <c r="B25" s="1" t="s">
        <v>8</v>
      </c>
      <c r="C25" s="2" t="s">
        <v>24</v>
      </c>
      <c r="D25" s="3" t="s">
        <v>25</v>
      </c>
      <c r="E25" s="1" t="s">
        <v>11</v>
      </c>
      <c r="F25" s="4" t="s">
        <v>12</v>
      </c>
      <c r="G25" s="4" t="s">
        <v>359</v>
      </c>
    </row>
    <row r="26" spans="1:7" hidden="1" x14ac:dyDescent="0.3">
      <c r="A26" s="100">
        <v>25</v>
      </c>
      <c r="B26" s="1" t="s">
        <v>8</v>
      </c>
      <c r="C26" s="2" t="s">
        <v>9</v>
      </c>
      <c r="D26" s="3" t="s">
        <v>10</v>
      </c>
      <c r="E26" s="1" t="s">
        <v>11</v>
      </c>
      <c r="F26" s="4" t="s">
        <v>12</v>
      </c>
      <c r="G26" s="4" t="s">
        <v>359</v>
      </c>
    </row>
    <row r="27" spans="1:7" hidden="1" x14ac:dyDescent="0.3">
      <c r="A27" s="12">
        <v>26</v>
      </c>
      <c r="B27" s="1" t="s">
        <v>8</v>
      </c>
      <c r="C27" s="7" t="s">
        <v>15</v>
      </c>
      <c r="D27" s="10" t="s">
        <v>10</v>
      </c>
      <c r="E27" s="11" t="s">
        <v>11</v>
      </c>
      <c r="F27" s="4" t="s">
        <v>12</v>
      </c>
      <c r="G27" s="4" t="s">
        <v>359</v>
      </c>
    </row>
    <row r="28" spans="1:7" hidden="1" x14ac:dyDescent="0.3">
      <c r="A28" s="12">
        <v>27</v>
      </c>
      <c r="B28" s="1" t="s">
        <v>103</v>
      </c>
      <c r="C28" s="2" t="s">
        <v>112</v>
      </c>
      <c r="D28" s="3" t="s">
        <v>113</v>
      </c>
      <c r="E28" s="1" t="s">
        <v>11</v>
      </c>
      <c r="F28" s="4" t="s">
        <v>12</v>
      </c>
      <c r="G28" s="4" t="s">
        <v>359</v>
      </c>
    </row>
    <row r="29" spans="1:7" hidden="1" x14ac:dyDescent="0.3">
      <c r="A29" s="100">
        <v>28</v>
      </c>
      <c r="B29" s="1" t="s">
        <v>139</v>
      </c>
      <c r="C29" s="2" t="s">
        <v>161</v>
      </c>
      <c r="D29" s="3" t="s">
        <v>162</v>
      </c>
      <c r="E29" s="1" t="s">
        <v>11</v>
      </c>
      <c r="F29" s="4" t="s">
        <v>12</v>
      </c>
      <c r="G29" s="4" t="s">
        <v>359</v>
      </c>
    </row>
    <row r="30" spans="1:7" ht="14.5" hidden="1" thickTop="1" x14ac:dyDescent="0.3">
      <c r="A30" s="12">
        <v>29</v>
      </c>
      <c r="B30" s="92" t="s">
        <v>139</v>
      </c>
      <c r="C30" s="93" t="s">
        <v>169</v>
      </c>
      <c r="D30" s="94" t="s">
        <v>170</v>
      </c>
      <c r="E30" s="92" t="s">
        <v>11</v>
      </c>
      <c r="F30" s="95" t="s">
        <v>12</v>
      </c>
      <c r="G30" s="4" t="s">
        <v>359</v>
      </c>
    </row>
    <row r="31" spans="1:7" hidden="1" x14ac:dyDescent="0.3">
      <c r="A31" s="12">
        <v>30</v>
      </c>
      <c r="B31" s="1" t="s">
        <v>139</v>
      </c>
      <c r="C31" s="2" t="s">
        <v>173</v>
      </c>
      <c r="D31" s="3" t="s">
        <v>174</v>
      </c>
      <c r="E31" s="1" t="s">
        <v>11</v>
      </c>
      <c r="F31" s="4" t="s">
        <v>12</v>
      </c>
      <c r="G31" s="102" t="s">
        <v>359</v>
      </c>
    </row>
    <row r="32" spans="1:7" x14ac:dyDescent="0.3">
      <c r="A32" t="s">
        <v>190</v>
      </c>
      <c r="G32">
        <f>SUBTOTAL(103,Table5[ملاحظات])</f>
        <v>15</v>
      </c>
    </row>
    <row r="33" spans="1:7" x14ac:dyDescent="0.3">
      <c r="A33" s="103"/>
      <c r="B33" s="103"/>
      <c r="C33" s="104"/>
      <c r="D33" s="105"/>
      <c r="E33" s="103"/>
      <c r="F33" s="102"/>
      <c r="G33" s="102"/>
    </row>
    <row r="35" spans="1:7" ht="14.5" thickBot="1" x14ac:dyDescent="0.35"/>
    <row r="36" spans="1:7" ht="18.5" x14ac:dyDescent="0.3">
      <c r="A36" s="19" t="s">
        <v>0</v>
      </c>
      <c r="B36" s="20" t="s">
        <v>1</v>
      </c>
      <c r="C36" s="20" t="s">
        <v>2</v>
      </c>
      <c r="D36" s="21" t="s">
        <v>3</v>
      </c>
      <c r="E36" s="21" t="s">
        <v>4</v>
      </c>
      <c r="F36" s="20" t="s">
        <v>5</v>
      </c>
      <c r="G36" s="106" t="s">
        <v>358</v>
      </c>
    </row>
    <row r="37" spans="1:7" x14ac:dyDescent="0.3">
      <c r="A37" s="12">
        <v>1</v>
      </c>
      <c r="B37" s="1" t="s">
        <v>8</v>
      </c>
      <c r="C37" s="2" t="s">
        <v>31</v>
      </c>
      <c r="D37" s="3" t="s">
        <v>32</v>
      </c>
      <c r="E37" s="1" t="s">
        <v>11</v>
      </c>
      <c r="F37" s="4" t="s">
        <v>12</v>
      </c>
      <c r="G37" s="4" t="s">
        <v>357</v>
      </c>
    </row>
    <row r="38" spans="1:7" x14ac:dyDescent="0.3">
      <c r="A38" s="12">
        <v>2</v>
      </c>
      <c r="B38" s="1" t="s">
        <v>8</v>
      </c>
      <c r="C38" s="2" t="s">
        <v>34</v>
      </c>
      <c r="D38" s="3" t="s">
        <v>32</v>
      </c>
      <c r="E38" s="1" t="s">
        <v>11</v>
      </c>
      <c r="F38" s="4" t="s">
        <v>12</v>
      </c>
      <c r="G38" s="4" t="s">
        <v>357</v>
      </c>
    </row>
    <row r="39" spans="1:7" x14ac:dyDescent="0.3">
      <c r="A39" s="12">
        <v>3</v>
      </c>
      <c r="B39" s="1" t="s">
        <v>49</v>
      </c>
      <c r="C39" s="2" t="s">
        <v>95</v>
      </c>
      <c r="D39" s="3" t="s">
        <v>96</v>
      </c>
      <c r="E39" s="1" t="s">
        <v>11</v>
      </c>
      <c r="F39" s="4" t="s">
        <v>12</v>
      </c>
      <c r="G39" s="4" t="s">
        <v>357</v>
      </c>
    </row>
    <row r="40" spans="1:7" x14ac:dyDescent="0.3">
      <c r="A40" s="12">
        <v>4</v>
      </c>
      <c r="B40" s="1" t="s">
        <v>49</v>
      </c>
      <c r="C40" s="2" t="s">
        <v>98</v>
      </c>
      <c r="D40" s="3" t="s">
        <v>32</v>
      </c>
      <c r="E40" s="1" t="s">
        <v>11</v>
      </c>
      <c r="F40" s="4" t="s">
        <v>12</v>
      </c>
      <c r="G40" s="4" t="s">
        <v>357</v>
      </c>
    </row>
    <row r="41" spans="1:7" x14ac:dyDescent="0.3">
      <c r="A41" s="107">
        <v>5</v>
      </c>
      <c r="B41" s="108" t="s">
        <v>103</v>
      </c>
      <c r="C41" s="109" t="s">
        <v>134</v>
      </c>
      <c r="D41" s="110" t="s">
        <v>135</v>
      </c>
      <c r="E41" s="108" t="s">
        <v>11</v>
      </c>
      <c r="F41" s="111" t="s">
        <v>12</v>
      </c>
      <c r="G41" s="111" t="s">
        <v>357</v>
      </c>
    </row>
    <row r="42" spans="1:7" x14ac:dyDescent="0.3">
      <c r="A42" s="107" t="s">
        <v>190</v>
      </c>
      <c r="B42" s="108"/>
      <c r="C42" s="109">
        <f>SUBTOTAL(103,Table7[رقم الارض])</f>
        <v>5</v>
      </c>
      <c r="D42" s="110"/>
      <c r="E42" s="108"/>
      <c r="F42" s="112"/>
      <c r="G42" s="112">
        <f>SUBTOTAL(103,Table7[ملاحظات])</f>
        <v>5</v>
      </c>
    </row>
  </sheetData>
  <pageMargins left="0.7" right="0.7" top="0.75" bottom="0.75" header="0.3" footer="0.3"/>
  <pageSetup paperSize="9" scale="95" orientation="landscape" r:id="rId1"/>
  <legacyDrawing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EA9EC-F950-476F-8F40-8D95BAD40501}">
  <dimension ref="A1:G47"/>
  <sheetViews>
    <sheetView rightToLeft="1" topLeftCell="A45" zoomScale="130" zoomScaleNormal="130" workbookViewId="0">
      <selection activeCell="G18" sqref="G18"/>
    </sheetView>
  </sheetViews>
  <sheetFormatPr defaultRowHeight="14" x14ac:dyDescent="0.3"/>
  <cols>
    <col min="3" max="3" width="19.4140625" customWidth="1"/>
    <col min="4" max="4" width="16.83203125" customWidth="1"/>
    <col min="5" max="5" width="9.1640625" customWidth="1"/>
    <col min="6" max="6" width="15.58203125" customWidth="1"/>
    <col min="7" max="7" width="35.6640625" customWidth="1"/>
  </cols>
  <sheetData>
    <row r="1" spans="1:7" ht="21" x14ac:dyDescent="0.3">
      <c r="A1" s="25" t="s">
        <v>0</v>
      </c>
      <c r="B1" s="26" t="s">
        <v>1</v>
      </c>
      <c r="C1" s="26" t="s">
        <v>2</v>
      </c>
      <c r="D1" s="26" t="s">
        <v>3</v>
      </c>
      <c r="E1" s="26" t="s">
        <v>191</v>
      </c>
      <c r="F1" s="26" t="s">
        <v>192</v>
      </c>
      <c r="G1" s="27" t="s">
        <v>342</v>
      </c>
    </row>
    <row r="2" spans="1:7" ht="28" x14ac:dyDescent="0.3">
      <c r="A2" s="38">
        <v>22</v>
      </c>
      <c r="B2" s="39" t="s">
        <v>225</v>
      </c>
      <c r="C2" s="40" t="s">
        <v>226</v>
      </c>
      <c r="D2" s="40" t="s">
        <v>227</v>
      </c>
      <c r="E2" s="39" t="s">
        <v>198</v>
      </c>
      <c r="F2" s="41" t="s">
        <v>228</v>
      </c>
      <c r="G2" s="42" t="s">
        <v>341</v>
      </c>
    </row>
    <row r="3" spans="1:7" ht="409.5" hidden="1" x14ac:dyDescent="0.3">
      <c r="A3" s="28">
        <v>33</v>
      </c>
      <c r="B3" s="29" t="s">
        <v>177</v>
      </c>
      <c r="C3" s="30" t="s">
        <v>206</v>
      </c>
      <c r="D3" s="30" t="s">
        <v>230</v>
      </c>
      <c r="E3" s="29" t="s">
        <v>198</v>
      </c>
      <c r="F3" s="31" t="s">
        <v>228</v>
      </c>
      <c r="G3" s="33" t="s">
        <v>231</v>
      </c>
    </row>
    <row r="4" spans="1:7" x14ac:dyDescent="0.3">
      <c r="A4" s="38">
        <v>4</v>
      </c>
      <c r="B4" s="39" t="s">
        <v>195</v>
      </c>
      <c r="C4" s="40" t="s">
        <v>232</v>
      </c>
      <c r="D4" s="40" t="s">
        <v>233</v>
      </c>
      <c r="E4" s="39" t="s">
        <v>198</v>
      </c>
      <c r="F4" s="41" t="s">
        <v>228</v>
      </c>
      <c r="G4" s="42" t="s">
        <v>341</v>
      </c>
    </row>
    <row r="5" spans="1:7" x14ac:dyDescent="0.3">
      <c r="A5" s="28">
        <v>26</v>
      </c>
      <c r="B5" s="29" t="s">
        <v>49</v>
      </c>
      <c r="C5" s="30" t="s">
        <v>235</v>
      </c>
      <c r="D5" s="30" t="s">
        <v>236</v>
      </c>
      <c r="E5" s="29" t="s">
        <v>198</v>
      </c>
      <c r="F5" s="31" t="s">
        <v>228</v>
      </c>
      <c r="G5" s="33" t="s">
        <v>341</v>
      </c>
    </row>
    <row r="6" spans="1:7" x14ac:dyDescent="0.3">
      <c r="A6" s="38">
        <v>32</v>
      </c>
      <c r="B6" s="39" t="s">
        <v>177</v>
      </c>
      <c r="C6" s="40" t="s">
        <v>206</v>
      </c>
      <c r="D6" s="40" t="s">
        <v>238</v>
      </c>
      <c r="E6" s="39" t="s">
        <v>198</v>
      </c>
      <c r="F6" s="41" t="s">
        <v>228</v>
      </c>
      <c r="G6" s="42" t="s">
        <v>341</v>
      </c>
    </row>
    <row r="7" spans="1:7" x14ac:dyDescent="0.3">
      <c r="A7" s="28">
        <v>42</v>
      </c>
      <c r="B7" s="29" t="s">
        <v>49</v>
      </c>
      <c r="C7" s="30" t="s">
        <v>239</v>
      </c>
      <c r="D7" s="30" t="s">
        <v>240</v>
      </c>
      <c r="E7" s="29" t="s">
        <v>198</v>
      </c>
      <c r="F7" s="31" t="s">
        <v>228</v>
      </c>
      <c r="G7" s="33" t="s">
        <v>341</v>
      </c>
    </row>
    <row r="8" spans="1:7" ht="28" x14ac:dyDescent="0.3">
      <c r="A8" s="38">
        <v>8</v>
      </c>
      <c r="B8" s="39" t="s">
        <v>225</v>
      </c>
      <c r="C8" s="40" t="s">
        <v>242</v>
      </c>
      <c r="D8" s="40" t="s">
        <v>243</v>
      </c>
      <c r="E8" s="39" t="s">
        <v>198</v>
      </c>
      <c r="F8" s="41" t="s">
        <v>228</v>
      </c>
      <c r="G8" s="42" t="s">
        <v>341</v>
      </c>
    </row>
    <row r="9" spans="1:7" x14ac:dyDescent="0.3">
      <c r="A9" s="28">
        <v>20</v>
      </c>
      <c r="B9" s="29" t="s">
        <v>225</v>
      </c>
      <c r="C9" s="30" t="s">
        <v>246</v>
      </c>
      <c r="D9" s="30" t="s">
        <v>247</v>
      </c>
      <c r="E9" s="29" t="s">
        <v>198</v>
      </c>
      <c r="F9" s="31" t="s">
        <v>228</v>
      </c>
      <c r="G9" s="33" t="s">
        <v>341</v>
      </c>
    </row>
    <row r="10" spans="1:7" ht="406" hidden="1" x14ac:dyDescent="0.3">
      <c r="A10" s="38">
        <v>34</v>
      </c>
      <c r="B10" s="39" t="s">
        <v>177</v>
      </c>
      <c r="C10" s="40" t="s">
        <v>206</v>
      </c>
      <c r="D10" s="40" t="s">
        <v>249</v>
      </c>
      <c r="E10" s="39" t="s">
        <v>198</v>
      </c>
      <c r="F10" s="41" t="s">
        <v>228</v>
      </c>
      <c r="G10" s="42" t="s">
        <v>250</v>
      </c>
    </row>
    <row r="11" spans="1:7" ht="392" hidden="1" x14ac:dyDescent="0.3">
      <c r="A11" s="28">
        <v>46</v>
      </c>
      <c r="B11" s="29" t="s">
        <v>177</v>
      </c>
      <c r="C11" s="30" t="s">
        <v>251</v>
      </c>
      <c r="D11" s="30" t="s">
        <v>249</v>
      </c>
      <c r="E11" s="29" t="s">
        <v>198</v>
      </c>
      <c r="F11" s="31" t="s">
        <v>228</v>
      </c>
      <c r="G11" s="33" t="s">
        <v>252</v>
      </c>
    </row>
    <row r="12" spans="1:7" x14ac:dyDescent="0.3">
      <c r="A12" s="38">
        <v>43</v>
      </c>
      <c r="B12" s="39" t="s">
        <v>49</v>
      </c>
      <c r="C12" s="40" t="s">
        <v>253</v>
      </c>
      <c r="D12" s="40" t="s">
        <v>254</v>
      </c>
      <c r="E12" s="39" t="s">
        <v>198</v>
      </c>
      <c r="F12" s="41" t="s">
        <v>228</v>
      </c>
      <c r="G12" s="42" t="s">
        <v>341</v>
      </c>
    </row>
    <row r="13" spans="1:7" x14ac:dyDescent="0.3">
      <c r="A13" s="28">
        <v>19</v>
      </c>
      <c r="B13" s="29" t="s">
        <v>225</v>
      </c>
      <c r="C13" s="30" t="s">
        <v>256</v>
      </c>
      <c r="D13" s="30" t="s">
        <v>257</v>
      </c>
      <c r="E13" s="29" t="s">
        <v>198</v>
      </c>
      <c r="F13" s="31" t="s">
        <v>228</v>
      </c>
      <c r="G13" s="33" t="s">
        <v>341</v>
      </c>
    </row>
    <row r="14" spans="1:7" ht="409.5" hidden="1" x14ac:dyDescent="0.3">
      <c r="A14" s="38">
        <v>7</v>
      </c>
      <c r="B14" s="39" t="s">
        <v>214</v>
      </c>
      <c r="C14" s="40" t="s">
        <v>259</v>
      </c>
      <c r="D14" s="40" t="s">
        <v>260</v>
      </c>
      <c r="E14" s="39" t="s">
        <v>198</v>
      </c>
      <c r="F14" s="41" t="s">
        <v>228</v>
      </c>
      <c r="G14" s="42" t="s">
        <v>261</v>
      </c>
    </row>
    <row r="15" spans="1:7" x14ac:dyDescent="0.3">
      <c r="A15" s="28">
        <v>41</v>
      </c>
      <c r="B15" s="29" t="s">
        <v>49</v>
      </c>
      <c r="C15" s="30" t="s">
        <v>262</v>
      </c>
      <c r="D15" s="30" t="s">
        <v>263</v>
      </c>
      <c r="E15" s="29" t="s">
        <v>198</v>
      </c>
      <c r="F15" s="31" t="s">
        <v>228</v>
      </c>
      <c r="G15" s="33" t="s">
        <v>341</v>
      </c>
    </row>
    <row r="16" spans="1:7" x14ac:dyDescent="0.3">
      <c r="A16" s="38">
        <v>40</v>
      </c>
      <c r="B16" s="39" t="s">
        <v>49</v>
      </c>
      <c r="C16" s="40" t="s">
        <v>264</v>
      </c>
      <c r="D16" s="40" t="s">
        <v>265</v>
      </c>
      <c r="E16" s="39" t="s">
        <v>198</v>
      </c>
      <c r="F16" s="41" t="s">
        <v>228</v>
      </c>
      <c r="G16" s="42" t="s">
        <v>341</v>
      </c>
    </row>
    <row r="17" spans="1:7" x14ac:dyDescent="0.3">
      <c r="A17" s="28">
        <v>18</v>
      </c>
      <c r="B17" s="29" t="s">
        <v>225</v>
      </c>
      <c r="C17" s="30" t="s">
        <v>267</v>
      </c>
      <c r="D17" s="30" t="s">
        <v>268</v>
      </c>
      <c r="E17" s="29" t="s">
        <v>198</v>
      </c>
      <c r="F17" s="31" t="s">
        <v>228</v>
      </c>
      <c r="G17" s="33" t="s">
        <v>341</v>
      </c>
    </row>
    <row r="18" spans="1:7" x14ac:dyDescent="0.3">
      <c r="A18" s="38">
        <v>17</v>
      </c>
      <c r="B18" s="39" t="s">
        <v>225</v>
      </c>
      <c r="C18" s="40" t="s">
        <v>270</v>
      </c>
      <c r="D18" s="40" t="s">
        <v>271</v>
      </c>
      <c r="E18" s="39" t="s">
        <v>198</v>
      </c>
      <c r="F18" s="41" t="s">
        <v>228</v>
      </c>
      <c r="G18" s="42" t="s">
        <v>341</v>
      </c>
    </row>
    <row r="19" spans="1:7" x14ac:dyDescent="0.3">
      <c r="A19" s="28">
        <v>45</v>
      </c>
      <c r="B19" s="29" t="s">
        <v>49</v>
      </c>
      <c r="C19" s="30" t="s">
        <v>273</v>
      </c>
      <c r="D19" s="30" t="s">
        <v>274</v>
      </c>
      <c r="E19" s="29" t="s">
        <v>198</v>
      </c>
      <c r="F19" s="31" t="s">
        <v>228</v>
      </c>
      <c r="G19" s="33" t="s">
        <v>341</v>
      </c>
    </row>
    <row r="20" spans="1:7" x14ac:dyDescent="0.3">
      <c r="A20" s="38">
        <v>44</v>
      </c>
      <c r="B20" s="39" t="s">
        <v>49</v>
      </c>
      <c r="C20" s="40" t="s">
        <v>275</v>
      </c>
      <c r="D20" s="40" t="s">
        <v>276</v>
      </c>
      <c r="E20" s="39" t="s">
        <v>198</v>
      </c>
      <c r="F20" s="41" t="s">
        <v>228</v>
      </c>
      <c r="G20" s="42" t="s">
        <v>341</v>
      </c>
    </row>
    <row r="21" spans="1:7" x14ac:dyDescent="0.3">
      <c r="A21" s="28">
        <v>21</v>
      </c>
      <c r="B21" s="29" t="s">
        <v>225</v>
      </c>
      <c r="C21" s="30" t="s">
        <v>277</v>
      </c>
      <c r="D21" s="30" t="s">
        <v>278</v>
      </c>
      <c r="E21" s="29" t="s">
        <v>198</v>
      </c>
      <c r="F21" s="31" t="s">
        <v>228</v>
      </c>
      <c r="G21" s="33" t="s">
        <v>341</v>
      </c>
    </row>
    <row r="22" spans="1:7" x14ac:dyDescent="0.3">
      <c r="A22" s="38">
        <v>31</v>
      </c>
      <c r="B22" s="39" t="s">
        <v>177</v>
      </c>
      <c r="C22" s="40" t="s">
        <v>206</v>
      </c>
      <c r="D22" s="40" t="s">
        <v>280</v>
      </c>
      <c r="E22" s="39" t="s">
        <v>198</v>
      </c>
      <c r="F22" s="41" t="s">
        <v>228</v>
      </c>
      <c r="G22" s="42" t="s">
        <v>341</v>
      </c>
    </row>
    <row r="23" spans="1:7" ht="406" hidden="1" x14ac:dyDescent="0.3">
      <c r="A23" s="28">
        <v>30</v>
      </c>
      <c r="B23" s="29" t="s">
        <v>177</v>
      </c>
      <c r="C23" s="30" t="s">
        <v>206</v>
      </c>
      <c r="D23" s="30" t="s">
        <v>281</v>
      </c>
      <c r="E23" s="29" t="s">
        <v>198</v>
      </c>
      <c r="F23" s="31" t="s">
        <v>228</v>
      </c>
      <c r="G23" s="33" t="s">
        <v>282</v>
      </c>
    </row>
    <row r="24" spans="1:7" ht="406" hidden="1" x14ac:dyDescent="0.3">
      <c r="A24" s="38">
        <v>29</v>
      </c>
      <c r="B24" s="39" t="s">
        <v>177</v>
      </c>
      <c r="C24" s="40" t="s">
        <v>206</v>
      </c>
      <c r="D24" s="40" t="s">
        <v>283</v>
      </c>
      <c r="E24" s="39" t="s">
        <v>198</v>
      </c>
      <c r="F24" s="41" t="s">
        <v>228</v>
      </c>
      <c r="G24" s="42" t="s">
        <v>282</v>
      </c>
    </row>
    <row r="25" spans="1:7" ht="28" x14ac:dyDescent="0.3">
      <c r="A25" s="28">
        <v>23</v>
      </c>
      <c r="B25" s="29" t="s">
        <v>225</v>
      </c>
      <c r="C25" s="30" t="s">
        <v>284</v>
      </c>
      <c r="D25" s="30" t="s">
        <v>285</v>
      </c>
      <c r="E25" s="29" t="s">
        <v>198</v>
      </c>
      <c r="F25" s="31" t="s">
        <v>228</v>
      </c>
      <c r="G25" s="33" t="s">
        <v>341</v>
      </c>
    </row>
    <row r="26" spans="1:7" ht="28" x14ac:dyDescent="0.3">
      <c r="A26" s="38">
        <v>14</v>
      </c>
      <c r="B26" s="39" t="s">
        <v>225</v>
      </c>
      <c r="C26" s="40" t="s">
        <v>287</v>
      </c>
      <c r="D26" s="40" t="s">
        <v>288</v>
      </c>
      <c r="E26" s="39" t="s">
        <v>198</v>
      </c>
      <c r="F26" s="41" t="s">
        <v>228</v>
      </c>
      <c r="G26" s="42" t="s">
        <v>341</v>
      </c>
    </row>
    <row r="27" spans="1:7" x14ac:dyDescent="0.3">
      <c r="A27" s="28">
        <v>13</v>
      </c>
      <c r="B27" s="29" t="s">
        <v>225</v>
      </c>
      <c r="C27" s="30" t="s">
        <v>290</v>
      </c>
      <c r="D27" s="30" t="s">
        <v>291</v>
      </c>
      <c r="E27" s="29" t="s">
        <v>198</v>
      </c>
      <c r="F27" s="31" t="s">
        <v>228</v>
      </c>
      <c r="G27" s="33" t="s">
        <v>341</v>
      </c>
    </row>
    <row r="28" spans="1:7" x14ac:dyDescent="0.3">
      <c r="A28" s="38">
        <v>28</v>
      </c>
      <c r="B28" s="39" t="s">
        <v>177</v>
      </c>
      <c r="C28" s="40" t="s">
        <v>206</v>
      </c>
      <c r="D28" s="40" t="s">
        <v>293</v>
      </c>
      <c r="E28" s="39" t="s">
        <v>198</v>
      </c>
      <c r="F28" s="41" t="s">
        <v>228</v>
      </c>
      <c r="G28" s="42" t="s">
        <v>341</v>
      </c>
    </row>
    <row r="29" spans="1:7" ht="28" x14ac:dyDescent="0.3">
      <c r="A29" s="28">
        <v>12</v>
      </c>
      <c r="B29" s="29" t="s">
        <v>225</v>
      </c>
      <c r="C29" s="30" t="s">
        <v>294</v>
      </c>
      <c r="D29" s="30" t="s">
        <v>295</v>
      </c>
      <c r="E29" s="29" t="s">
        <v>198</v>
      </c>
      <c r="F29" s="31" t="s">
        <v>228</v>
      </c>
      <c r="G29" s="33" t="s">
        <v>341</v>
      </c>
    </row>
    <row r="30" spans="1:7" x14ac:dyDescent="0.3">
      <c r="A30" s="38">
        <v>11</v>
      </c>
      <c r="B30" s="39" t="s">
        <v>225</v>
      </c>
      <c r="C30" s="40" t="s">
        <v>297</v>
      </c>
      <c r="D30" s="40" t="s">
        <v>298</v>
      </c>
      <c r="E30" s="39" t="s">
        <v>198</v>
      </c>
      <c r="F30" s="41" t="s">
        <v>228</v>
      </c>
      <c r="G30" s="42" t="s">
        <v>341</v>
      </c>
    </row>
    <row r="31" spans="1:7" ht="16" x14ac:dyDescent="0.5">
      <c r="A31" s="28"/>
      <c r="B31" s="29" t="s">
        <v>49</v>
      </c>
      <c r="C31" s="35" t="s">
        <v>300</v>
      </c>
      <c r="D31" s="36" t="s">
        <v>301</v>
      </c>
      <c r="E31" s="29" t="s">
        <v>198</v>
      </c>
      <c r="F31" s="31" t="s">
        <v>18</v>
      </c>
      <c r="G31" s="33" t="s">
        <v>341</v>
      </c>
    </row>
    <row r="32" spans="1:7" x14ac:dyDescent="0.3">
      <c r="A32" s="38">
        <v>25</v>
      </c>
      <c r="B32" s="39" t="s">
        <v>49</v>
      </c>
      <c r="C32" s="40" t="s">
        <v>303</v>
      </c>
      <c r="D32" s="40" t="s">
        <v>304</v>
      </c>
      <c r="E32" s="39" t="s">
        <v>198</v>
      </c>
      <c r="F32" s="41" t="s">
        <v>228</v>
      </c>
      <c r="G32" s="42" t="s">
        <v>341</v>
      </c>
    </row>
    <row r="33" spans="1:7" x14ac:dyDescent="0.3">
      <c r="A33" s="28">
        <v>5</v>
      </c>
      <c r="B33" s="29" t="s">
        <v>195</v>
      </c>
      <c r="C33" s="30" t="s">
        <v>209</v>
      </c>
      <c r="D33" s="30" t="s">
        <v>307</v>
      </c>
      <c r="E33" s="29" t="s">
        <v>198</v>
      </c>
      <c r="F33" s="31" t="s">
        <v>228</v>
      </c>
      <c r="G33" s="33" t="s">
        <v>341</v>
      </c>
    </row>
    <row r="34" spans="1:7" x14ac:dyDescent="0.3">
      <c r="A34" s="38">
        <v>6</v>
      </c>
      <c r="B34" s="39" t="s">
        <v>195</v>
      </c>
      <c r="C34" s="40" t="s">
        <v>309</v>
      </c>
      <c r="D34" s="40" t="s">
        <v>310</v>
      </c>
      <c r="E34" s="39" t="s">
        <v>198</v>
      </c>
      <c r="F34" s="41" t="s">
        <v>18</v>
      </c>
      <c r="G34" s="42" t="s">
        <v>341</v>
      </c>
    </row>
    <row r="35" spans="1:7" ht="409.5" hidden="1" x14ac:dyDescent="0.3">
      <c r="A35" s="28">
        <v>10</v>
      </c>
      <c r="B35" s="29" t="s">
        <v>225</v>
      </c>
      <c r="C35" s="30" t="s">
        <v>311</v>
      </c>
      <c r="D35" s="30" t="s">
        <v>312</v>
      </c>
      <c r="E35" s="29" t="s">
        <v>198</v>
      </c>
      <c r="F35" s="31" t="s">
        <v>228</v>
      </c>
      <c r="G35" s="33" t="s">
        <v>313</v>
      </c>
    </row>
    <row r="36" spans="1:7" ht="409.5" hidden="1" x14ac:dyDescent="0.3">
      <c r="A36" s="38">
        <v>3</v>
      </c>
      <c r="B36" s="39" t="s">
        <v>195</v>
      </c>
      <c r="C36" s="40" t="s">
        <v>209</v>
      </c>
      <c r="D36" s="40" t="s">
        <v>314</v>
      </c>
      <c r="E36" s="39" t="s">
        <v>198</v>
      </c>
      <c r="F36" s="41" t="s">
        <v>228</v>
      </c>
      <c r="G36" s="42" t="s">
        <v>315</v>
      </c>
    </row>
    <row r="37" spans="1:7" ht="406" hidden="1" x14ac:dyDescent="0.3">
      <c r="A37" s="28">
        <v>27</v>
      </c>
      <c r="B37" s="29" t="s">
        <v>177</v>
      </c>
      <c r="C37" s="30" t="s">
        <v>206</v>
      </c>
      <c r="D37" s="30" t="s">
        <v>316</v>
      </c>
      <c r="E37" s="29" t="s">
        <v>198</v>
      </c>
      <c r="F37" s="31" t="s">
        <v>228</v>
      </c>
      <c r="G37" s="33" t="s">
        <v>317</v>
      </c>
    </row>
    <row r="38" spans="1:7" ht="409.5" hidden="1" x14ac:dyDescent="0.3">
      <c r="A38" s="38">
        <v>2</v>
      </c>
      <c r="B38" s="39" t="s">
        <v>195</v>
      </c>
      <c r="C38" s="40" t="s">
        <v>209</v>
      </c>
      <c r="D38" s="40" t="s">
        <v>318</v>
      </c>
      <c r="E38" s="39" t="s">
        <v>198</v>
      </c>
      <c r="F38" s="41" t="s">
        <v>228</v>
      </c>
      <c r="G38" s="42" t="s">
        <v>319</v>
      </c>
    </row>
    <row r="39" spans="1:7" ht="42" hidden="1" x14ac:dyDescent="0.3">
      <c r="A39" s="28">
        <v>35</v>
      </c>
      <c r="B39" s="29" t="s">
        <v>195</v>
      </c>
      <c r="C39" s="30" t="s">
        <v>209</v>
      </c>
      <c r="D39" s="30" t="s">
        <v>320</v>
      </c>
      <c r="E39" s="29" t="s">
        <v>198</v>
      </c>
      <c r="F39" s="31" t="s">
        <v>228</v>
      </c>
      <c r="G39" s="33" t="s">
        <v>321</v>
      </c>
    </row>
    <row r="40" spans="1:7" x14ac:dyDescent="0.3">
      <c r="A40" s="38">
        <v>24</v>
      </c>
      <c r="B40" s="39" t="s">
        <v>225</v>
      </c>
      <c r="C40" s="40" t="s">
        <v>322</v>
      </c>
      <c r="D40" s="40" t="s">
        <v>323</v>
      </c>
      <c r="E40" s="39" t="s">
        <v>198</v>
      </c>
      <c r="F40" s="41" t="s">
        <v>228</v>
      </c>
      <c r="G40" s="42" t="s">
        <v>341</v>
      </c>
    </row>
    <row r="41" spans="1:7" ht="28" x14ac:dyDescent="0.3">
      <c r="A41" s="28">
        <v>36</v>
      </c>
      <c r="B41" s="29" t="s">
        <v>49</v>
      </c>
      <c r="C41" s="30" t="s">
        <v>325</v>
      </c>
      <c r="D41" s="30" t="s">
        <v>326</v>
      </c>
      <c r="E41" s="29" t="s">
        <v>198</v>
      </c>
      <c r="F41" s="31" t="s">
        <v>228</v>
      </c>
      <c r="G41" s="33" t="s">
        <v>341</v>
      </c>
    </row>
    <row r="42" spans="1:7" x14ac:dyDescent="0.3">
      <c r="A42" s="43">
        <v>9</v>
      </c>
      <c r="B42" s="44" t="s">
        <v>225</v>
      </c>
      <c r="C42" s="45" t="s">
        <v>328</v>
      </c>
      <c r="D42" s="45" t="s">
        <v>329</v>
      </c>
      <c r="E42" s="39" t="s">
        <v>198</v>
      </c>
      <c r="F42" s="41" t="s">
        <v>228</v>
      </c>
      <c r="G42" s="46" t="s">
        <v>341</v>
      </c>
    </row>
    <row r="43" spans="1:7" x14ac:dyDescent="0.3">
      <c r="A43" s="28">
        <v>38</v>
      </c>
      <c r="B43" s="29" t="s">
        <v>49</v>
      </c>
      <c r="C43" s="30" t="s">
        <v>331</v>
      </c>
      <c r="D43" s="30" t="s">
        <v>332</v>
      </c>
      <c r="E43" s="29" t="s">
        <v>198</v>
      </c>
      <c r="F43" s="31" t="s">
        <v>228</v>
      </c>
      <c r="G43" s="33" t="s">
        <v>341</v>
      </c>
    </row>
    <row r="44" spans="1:7" ht="409.5" hidden="1" x14ac:dyDescent="0.3">
      <c r="A44" s="43">
        <v>16</v>
      </c>
      <c r="B44" s="39" t="s">
        <v>225</v>
      </c>
      <c r="C44" s="45" t="s">
        <v>334</v>
      </c>
      <c r="D44" s="45" t="s">
        <v>335</v>
      </c>
      <c r="E44" s="39" t="s">
        <v>198</v>
      </c>
      <c r="F44" s="41" t="s">
        <v>228</v>
      </c>
      <c r="G44" s="46" t="s">
        <v>336</v>
      </c>
    </row>
    <row r="45" spans="1:7" ht="28" x14ac:dyDescent="0.3">
      <c r="A45" s="47">
        <v>15</v>
      </c>
      <c r="B45" s="48" t="s">
        <v>225</v>
      </c>
      <c r="C45" s="49" t="s">
        <v>337</v>
      </c>
      <c r="D45" s="49" t="s">
        <v>338</v>
      </c>
      <c r="E45" s="29" t="s">
        <v>198</v>
      </c>
      <c r="F45" s="50" t="s">
        <v>228</v>
      </c>
      <c r="G45" s="51" t="s">
        <v>341</v>
      </c>
    </row>
    <row r="46" spans="1:7" hidden="1" x14ac:dyDescent="0.3">
      <c r="A46" s="52" t="s">
        <v>190</v>
      </c>
      <c r="B46" s="59"/>
      <c r="C46" s="60">
        <v>51</v>
      </c>
      <c r="D46" s="53">
        <v>54</v>
      </c>
      <c r="E46" s="54"/>
      <c r="F46" s="55"/>
      <c r="G46" s="61"/>
    </row>
    <row r="47" spans="1:7" x14ac:dyDescent="0.3">
      <c r="A47" s="24">
        <f>SUBTOTAL(102,Table4[No])</f>
        <v>31</v>
      </c>
      <c r="B47" s="24"/>
      <c r="C47" s="24"/>
      <c r="D47" s="24"/>
      <c r="E47" s="24"/>
      <c r="F47" s="24"/>
      <c r="G47" s="24"/>
    </row>
  </sheetData>
  <pageMargins left="0.7" right="0.7" top="0.75" bottom="0.75" header="0.3" footer="0.3"/>
  <pageSetup paperSize="9" orientation="landscape"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F5570-D457-4594-B7E0-B4AD93A1BB9F}">
  <dimension ref="A1:G47"/>
  <sheetViews>
    <sheetView rightToLeft="1" workbookViewId="0">
      <selection activeCell="F53" sqref="F53"/>
    </sheetView>
  </sheetViews>
  <sheetFormatPr defaultRowHeight="14" x14ac:dyDescent="0.3"/>
  <cols>
    <col min="3" max="3" width="9.75" customWidth="1"/>
    <col min="5" max="5" width="9.6640625" customWidth="1"/>
    <col min="6" max="6" width="11.5" customWidth="1"/>
    <col min="7" max="7" width="15.4140625" customWidth="1"/>
  </cols>
  <sheetData>
    <row r="1" spans="1:7" ht="21" x14ac:dyDescent="0.3">
      <c r="A1" s="25" t="s">
        <v>0</v>
      </c>
      <c r="B1" s="26" t="s">
        <v>1</v>
      </c>
      <c r="C1" s="26" t="s">
        <v>2</v>
      </c>
      <c r="D1" s="26" t="s">
        <v>3</v>
      </c>
      <c r="E1" s="26" t="s">
        <v>191</v>
      </c>
      <c r="F1" s="26" t="s">
        <v>192</v>
      </c>
      <c r="G1" s="26" t="s">
        <v>340</v>
      </c>
    </row>
    <row r="2" spans="1:7" ht="56" hidden="1" x14ac:dyDescent="0.3">
      <c r="A2" s="38">
        <v>22</v>
      </c>
      <c r="B2" s="39" t="s">
        <v>225</v>
      </c>
      <c r="C2" s="40" t="s">
        <v>226</v>
      </c>
      <c r="D2" s="40" t="s">
        <v>227</v>
      </c>
      <c r="E2" s="39" t="s">
        <v>198</v>
      </c>
      <c r="F2" s="41" t="s">
        <v>228</v>
      </c>
    </row>
    <row r="3" spans="1:7" hidden="1" x14ac:dyDescent="0.3">
      <c r="A3" s="28">
        <v>33</v>
      </c>
      <c r="B3" s="29" t="s">
        <v>177</v>
      </c>
      <c r="C3" s="30" t="s">
        <v>206</v>
      </c>
      <c r="D3" s="30" t="s">
        <v>230</v>
      </c>
      <c r="E3" s="29" t="s">
        <v>198</v>
      </c>
      <c r="F3" s="31" t="s">
        <v>228</v>
      </c>
    </row>
    <row r="4" spans="1:7" ht="28" hidden="1" x14ac:dyDescent="0.3">
      <c r="A4" s="38">
        <v>4</v>
      </c>
      <c r="B4" s="39" t="s">
        <v>195</v>
      </c>
      <c r="C4" s="40" t="s">
        <v>232</v>
      </c>
      <c r="D4" s="40" t="s">
        <v>233</v>
      </c>
      <c r="E4" s="39" t="s">
        <v>198</v>
      </c>
      <c r="F4" s="41" t="s">
        <v>228</v>
      </c>
    </row>
    <row r="5" spans="1:7" ht="28" x14ac:dyDescent="0.3">
      <c r="A5" s="28">
        <v>26</v>
      </c>
      <c r="B5" s="29" t="s">
        <v>49</v>
      </c>
      <c r="C5" s="30" t="s">
        <v>235</v>
      </c>
      <c r="D5" s="30" t="s">
        <v>236</v>
      </c>
      <c r="E5" s="29" t="s">
        <v>198</v>
      </c>
      <c r="F5" s="31" t="s">
        <v>228</v>
      </c>
      <c r="G5" t="s">
        <v>341</v>
      </c>
    </row>
    <row r="6" spans="1:7" ht="28" hidden="1" x14ac:dyDescent="0.3">
      <c r="A6" s="38">
        <v>32</v>
      </c>
      <c r="B6" s="39" t="s">
        <v>177</v>
      </c>
      <c r="C6" s="40" t="s">
        <v>206</v>
      </c>
      <c r="D6" s="40" t="s">
        <v>238</v>
      </c>
      <c r="E6" s="39" t="s">
        <v>198</v>
      </c>
      <c r="F6" s="41" t="s">
        <v>228</v>
      </c>
    </row>
    <row r="7" spans="1:7" ht="28" x14ac:dyDescent="0.3">
      <c r="A7" s="28">
        <v>42</v>
      </c>
      <c r="B7" s="29" t="s">
        <v>49</v>
      </c>
      <c r="C7" s="30" t="s">
        <v>239</v>
      </c>
      <c r="D7" s="30" t="s">
        <v>240</v>
      </c>
      <c r="E7" s="29" t="s">
        <v>198</v>
      </c>
      <c r="F7" s="31" t="s">
        <v>228</v>
      </c>
      <c r="G7" t="s">
        <v>341</v>
      </c>
    </row>
    <row r="8" spans="1:7" ht="42" hidden="1" x14ac:dyDescent="0.3">
      <c r="A8" s="38">
        <v>8</v>
      </c>
      <c r="B8" s="39" t="s">
        <v>225</v>
      </c>
      <c r="C8" s="40" t="s">
        <v>242</v>
      </c>
      <c r="D8" s="40" t="s">
        <v>243</v>
      </c>
      <c r="E8" s="39" t="s">
        <v>198</v>
      </c>
      <c r="F8" s="41" t="s">
        <v>228</v>
      </c>
    </row>
    <row r="9" spans="1:7" ht="28" hidden="1" x14ac:dyDescent="0.3">
      <c r="A9" s="28">
        <v>20</v>
      </c>
      <c r="B9" s="29" t="s">
        <v>225</v>
      </c>
      <c r="C9" s="30" t="s">
        <v>246</v>
      </c>
      <c r="D9" s="30" t="s">
        <v>247</v>
      </c>
      <c r="E9" s="29" t="s">
        <v>198</v>
      </c>
      <c r="F9" s="31" t="s">
        <v>228</v>
      </c>
    </row>
    <row r="10" spans="1:7" hidden="1" x14ac:dyDescent="0.3">
      <c r="A10" s="38">
        <v>34</v>
      </c>
      <c r="B10" s="39" t="s">
        <v>177</v>
      </c>
      <c r="C10" s="40" t="s">
        <v>206</v>
      </c>
      <c r="D10" s="40" t="s">
        <v>249</v>
      </c>
      <c r="E10" s="39" t="s">
        <v>198</v>
      </c>
      <c r="F10" s="41" t="s">
        <v>228</v>
      </c>
    </row>
    <row r="11" spans="1:7" hidden="1" x14ac:dyDescent="0.3">
      <c r="A11" s="28">
        <v>46</v>
      </c>
      <c r="B11" s="29" t="s">
        <v>177</v>
      </c>
      <c r="C11" s="30" t="s">
        <v>251</v>
      </c>
      <c r="D11" s="30" t="s">
        <v>249</v>
      </c>
      <c r="E11" s="29" t="s">
        <v>198</v>
      </c>
      <c r="F11" s="31" t="s">
        <v>228</v>
      </c>
    </row>
    <row r="12" spans="1:7" ht="28" x14ac:dyDescent="0.3">
      <c r="A12" s="38">
        <v>43</v>
      </c>
      <c r="B12" s="39" t="s">
        <v>49</v>
      </c>
      <c r="C12" s="40" t="s">
        <v>253</v>
      </c>
      <c r="D12" s="40" t="s">
        <v>254</v>
      </c>
      <c r="E12" s="39" t="s">
        <v>198</v>
      </c>
      <c r="F12" s="41" t="s">
        <v>228</v>
      </c>
      <c r="G12" t="s">
        <v>341</v>
      </c>
    </row>
    <row r="13" spans="1:7" ht="28" hidden="1" x14ac:dyDescent="0.3">
      <c r="A13" s="28">
        <v>19</v>
      </c>
      <c r="B13" s="29" t="s">
        <v>225</v>
      </c>
      <c r="C13" s="30" t="s">
        <v>256</v>
      </c>
      <c r="D13" s="30" t="s">
        <v>257</v>
      </c>
      <c r="E13" s="29" t="s">
        <v>198</v>
      </c>
      <c r="F13" s="31" t="s">
        <v>228</v>
      </c>
    </row>
    <row r="14" spans="1:7" ht="28" hidden="1" x14ac:dyDescent="0.3">
      <c r="A14" s="38">
        <v>7</v>
      </c>
      <c r="B14" s="39" t="s">
        <v>214</v>
      </c>
      <c r="C14" s="40" t="s">
        <v>259</v>
      </c>
      <c r="D14" s="40" t="s">
        <v>260</v>
      </c>
      <c r="E14" s="39" t="s">
        <v>198</v>
      </c>
      <c r="F14" s="41" t="s">
        <v>228</v>
      </c>
    </row>
    <row r="15" spans="1:7" ht="28" x14ac:dyDescent="0.3">
      <c r="A15" s="28">
        <v>41</v>
      </c>
      <c r="B15" s="29" t="s">
        <v>49</v>
      </c>
      <c r="C15" s="30" t="s">
        <v>262</v>
      </c>
      <c r="D15" s="30" t="s">
        <v>263</v>
      </c>
      <c r="E15" s="29" t="s">
        <v>198</v>
      </c>
      <c r="F15" s="31" t="s">
        <v>228</v>
      </c>
      <c r="G15" t="s">
        <v>341</v>
      </c>
    </row>
    <row r="16" spans="1:7" ht="28" x14ac:dyDescent="0.3">
      <c r="A16" s="38">
        <v>40</v>
      </c>
      <c r="B16" s="39" t="s">
        <v>49</v>
      </c>
      <c r="C16" s="40" t="s">
        <v>264</v>
      </c>
      <c r="D16" s="40" t="s">
        <v>265</v>
      </c>
      <c r="E16" s="39" t="s">
        <v>198</v>
      </c>
      <c r="F16" s="41" t="s">
        <v>228</v>
      </c>
      <c r="G16" t="s">
        <v>341</v>
      </c>
    </row>
    <row r="17" spans="1:7" ht="28" hidden="1" x14ac:dyDescent="0.3">
      <c r="A17" s="28">
        <v>18</v>
      </c>
      <c r="B17" s="29" t="s">
        <v>225</v>
      </c>
      <c r="C17" s="30" t="s">
        <v>267</v>
      </c>
      <c r="D17" s="30" t="s">
        <v>268</v>
      </c>
      <c r="E17" s="29" t="s">
        <v>198</v>
      </c>
      <c r="F17" s="31" t="s">
        <v>228</v>
      </c>
    </row>
    <row r="18" spans="1:7" hidden="1" x14ac:dyDescent="0.3">
      <c r="A18" s="38">
        <v>17</v>
      </c>
      <c r="B18" s="39" t="s">
        <v>225</v>
      </c>
      <c r="C18" s="40" t="s">
        <v>270</v>
      </c>
      <c r="D18" s="40" t="s">
        <v>271</v>
      </c>
      <c r="E18" s="39" t="s">
        <v>198</v>
      </c>
      <c r="F18" s="41" t="s">
        <v>228</v>
      </c>
    </row>
    <row r="19" spans="1:7" x14ac:dyDescent="0.3">
      <c r="A19" s="28">
        <v>45</v>
      </c>
      <c r="B19" s="29" t="s">
        <v>49</v>
      </c>
      <c r="C19" s="30" t="s">
        <v>273</v>
      </c>
      <c r="D19" s="30" t="s">
        <v>274</v>
      </c>
      <c r="E19" s="29" t="s">
        <v>198</v>
      </c>
      <c r="F19" s="31" t="s">
        <v>228</v>
      </c>
      <c r="G19" t="s">
        <v>341</v>
      </c>
    </row>
    <row r="20" spans="1:7" ht="28" x14ac:dyDescent="0.3">
      <c r="A20" s="38">
        <v>44</v>
      </c>
      <c r="B20" s="39" t="s">
        <v>49</v>
      </c>
      <c r="C20" s="40" t="s">
        <v>275</v>
      </c>
      <c r="D20" s="40" t="s">
        <v>276</v>
      </c>
      <c r="E20" s="39" t="s">
        <v>198</v>
      </c>
      <c r="F20" s="41" t="s">
        <v>228</v>
      </c>
      <c r="G20" t="s">
        <v>341</v>
      </c>
    </row>
    <row r="21" spans="1:7" hidden="1" x14ac:dyDescent="0.3">
      <c r="A21" s="28">
        <v>21</v>
      </c>
      <c r="B21" s="29" t="s">
        <v>225</v>
      </c>
      <c r="C21" s="30" t="s">
        <v>277</v>
      </c>
      <c r="D21" s="30" t="s">
        <v>278</v>
      </c>
      <c r="E21" s="29" t="s">
        <v>198</v>
      </c>
      <c r="F21" s="31" t="s">
        <v>228</v>
      </c>
    </row>
    <row r="22" spans="1:7" ht="28" hidden="1" x14ac:dyDescent="0.3">
      <c r="A22" s="38">
        <v>31</v>
      </c>
      <c r="B22" s="39" t="s">
        <v>177</v>
      </c>
      <c r="C22" s="40" t="s">
        <v>206</v>
      </c>
      <c r="D22" s="40" t="s">
        <v>280</v>
      </c>
      <c r="E22" s="39" t="s">
        <v>198</v>
      </c>
      <c r="F22" s="41" t="s">
        <v>228</v>
      </c>
    </row>
    <row r="23" spans="1:7" hidden="1" x14ac:dyDescent="0.3">
      <c r="A23" s="28">
        <v>30</v>
      </c>
      <c r="B23" s="29" t="s">
        <v>177</v>
      </c>
      <c r="C23" s="30" t="s">
        <v>206</v>
      </c>
      <c r="D23" s="30" t="s">
        <v>281</v>
      </c>
      <c r="E23" s="29" t="s">
        <v>198</v>
      </c>
      <c r="F23" s="31" t="s">
        <v>228</v>
      </c>
    </row>
    <row r="24" spans="1:7" hidden="1" x14ac:dyDescent="0.3">
      <c r="A24" s="38">
        <v>29</v>
      </c>
      <c r="B24" s="39" t="s">
        <v>177</v>
      </c>
      <c r="C24" s="40" t="s">
        <v>206</v>
      </c>
      <c r="D24" s="40" t="s">
        <v>283</v>
      </c>
      <c r="E24" s="39" t="s">
        <v>198</v>
      </c>
      <c r="F24" s="41" t="s">
        <v>228</v>
      </c>
    </row>
    <row r="25" spans="1:7" ht="42" hidden="1" x14ac:dyDescent="0.3">
      <c r="A25" s="28">
        <v>23</v>
      </c>
      <c r="B25" s="29" t="s">
        <v>225</v>
      </c>
      <c r="C25" s="30" t="s">
        <v>284</v>
      </c>
      <c r="D25" s="30" t="s">
        <v>285</v>
      </c>
      <c r="E25" s="29" t="s">
        <v>198</v>
      </c>
      <c r="F25" s="31" t="s">
        <v>228</v>
      </c>
    </row>
    <row r="26" spans="1:7" ht="42" hidden="1" x14ac:dyDescent="0.3">
      <c r="A26" s="38">
        <v>14</v>
      </c>
      <c r="B26" s="39" t="s">
        <v>225</v>
      </c>
      <c r="C26" s="40" t="s">
        <v>287</v>
      </c>
      <c r="D26" s="40" t="s">
        <v>288</v>
      </c>
      <c r="E26" s="39" t="s">
        <v>198</v>
      </c>
      <c r="F26" s="41" t="s">
        <v>228</v>
      </c>
    </row>
    <row r="27" spans="1:7" ht="28" hidden="1" x14ac:dyDescent="0.3">
      <c r="A27" s="28">
        <v>13</v>
      </c>
      <c r="B27" s="29" t="s">
        <v>225</v>
      </c>
      <c r="C27" s="30" t="s">
        <v>290</v>
      </c>
      <c r="D27" s="30" t="s">
        <v>291</v>
      </c>
      <c r="E27" s="29" t="s">
        <v>198</v>
      </c>
      <c r="F27" s="31" t="s">
        <v>228</v>
      </c>
    </row>
    <row r="28" spans="1:7" hidden="1" x14ac:dyDescent="0.3">
      <c r="A28" s="38">
        <v>28</v>
      </c>
      <c r="B28" s="39" t="s">
        <v>177</v>
      </c>
      <c r="C28" s="40" t="s">
        <v>206</v>
      </c>
      <c r="D28" s="40" t="s">
        <v>293</v>
      </c>
      <c r="E28" s="39" t="s">
        <v>198</v>
      </c>
      <c r="F28" s="41" t="s">
        <v>228</v>
      </c>
    </row>
    <row r="29" spans="1:7" ht="42" hidden="1" x14ac:dyDescent="0.3">
      <c r="A29" s="28">
        <v>12</v>
      </c>
      <c r="B29" s="29" t="s">
        <v>225</v>
      </c>
      <c r="C29" s="30" t="s">
        <v>294</v>
      </c>
      <c r="D29" s="30" t="s">
        <v>295</v>
      </c>
      <c r="E29" s="29" t="s">
        <v>198</v>
      </c>
      <c r="F29" s="31" t="s">
        <v>228</v>
      </c>
    </row>
    <row r="30" spans="1:7" hidden="1" x14ac:dyDescent="0.3">
      <c r="A30" s="38">
        <v>11</v>
      </c>
      <c r="B30" s="39" t="s">
        <v>225</v>
      </c>
      <c r="C30" s="40" t="s">
        <v>297</v>
      </c>
      <c r="D30" s="40" t="s">
        <v>298</v>
      </c>
      <c r="E30" s="39" t="s">
        <v>198</v>
      </c>
      <c r="F30" s="41" t="s">
        <v>228</v>
      </c>
    </row>
    <row r="31" spans="1:7" ht="28" x14ac:dyDescent="0.5">
      <c r="A31" s="28"/>
      <c r="B31" s="29" t="s">
        <v>49</v>
      </c>
      <c r="C31" s="35" t="s">
        <v>300</v>
      </c>
      <c r="D31" s="36" t="s">
        <v>301</v>
      </c>
      <c r="E31" s="29" t="s">
        <v>198</v>
      </c>
      <c r="F31" s="31" t="s">
        <v>18</v>
      </c>
      <c r="G31" t="s">
        <v>341</v>
      </c>
    </row>
    <row r="32" spans="1:7" x14ac:dyDescent="0.3">
      <c r="A32" s="38">
        <v>25</v>
      </c>
      <c r="B32" s="39" t="s">
        <v>49</v>
      </c>
      <c r="C32" s="40" t="s">
        <v>303</v>
      </c>
      <c r="D32" s="40" t="s">
        <v>304</v>
      </c>
      <c r="E32" s="39" t="s">
        <v>198</v>
      </c>
      <c r="F32" s="41" t="s">
        <v>228</v>
      </c>
      <c r="G32" t="s">
        <v>341</v>
      </c>
    </row>
    <row r="33" spans="1:7" ht="42" hidden="1" x14ac:dyDescent="0.3">
      <c r="A33" s="28">
        <v>5</v>
      </c>
      <c r="B33" s="29" t="s">
        <v>195</v>
      </c>
      <c r="C33" s="30" t="s">
        <v>209</v>
      </c>
      <c r="D33" s="30" t="s">
        <v>307</v>
      </c>
      <c r="E33" s="29" t="s">
        <v>198</v>
      </c>
      <c r="F33" s="31" t="s">
        <v>228</v>
      </c>
    </row>
    <row r="34" spans="1:7" hidden="1" x14ac:dyDescent="0.3">
      <c r="A34" s="38">
        <v>6</v>
      </c>
      <c r="B34" s="39" t="s">
        <v>195</v>
      </c>
      <c r="C34" s="40" t="s">
        <v>309</v>
      </c>
      <c r="D34" s="40" t="s">
        <v>310</v>
      </c>
      <c r="E34" s="39" t="s">
        <v>198</v>
      </c>
      <c r="F34" s="41" t="s">
        <v>18</v>
      </c>
    </row>
    <row r="35" spans="1:7" ht="28" hidden="1" x14ac:dyDescent="0.3">
      <c r="A35" s="28">
        <v>10</v>
      </c>
      <c r="B35" s="29" t="s">
        <v>225</v>
      </c>
      <c r="C35" s="30" t="s">
        <v>311</v>
      </c>
      <c r="D35" s="30" t="s">
        <v>312</v>
      </c>
      <c r="E35" s="29" t="s">
        <v>198</v>
      </c>
      <c r="F35" s="31" t="s">
        <v>228</v>
      </c>
    </row>
    <row r="36" spans="1:7" hidden="1" x14ac:dyDescent="0.3">
      <c r="A36" s="38">
        <v>3</v>
      </c>
      <c r="B36" s="39" t="s">
        <v>195</v>
      </c>
      <c r="C36" s="40" t="s">
        <v>209</v>
      </c>
      <c r="D36" s="40" t="s">
        <v>314</v>
      </c>
      <c r="E36" s="39" t="s">
        <v>198</v>
      </c>
      <c r="F36" s="41" t="s">
        <v>228</v>
      </c>
    </row>
    <row r="37" spans="1:7" ht="28" hidden="1" x14ac:dyDescent="0.3">
      <c r="A37" s="28">
        <v>27</v>
      </c>
      <c r="B37" s="29" t="s">
        <v>177</v>
      </c>
      <c r="C37" s="30" t="s">
        <v>206</v>
      </c>
      <c r="D37" s="30" t="s">
        <v>316</v>
      </c>
      <c r="E37" s="29" t="s">
        <v>198</v>
      </c>
      <c r="F37" s="31" t="s">
        <v>228</v>
      </c>
    </row>
    <row r="38" spans="1:7" ht="28" hidden="1" x14ac:dyDescent="0.3">
      <c r="A38" s="38">
        <v>2</v>
      </c>
      <c r="B38" s="39" t="s">
        <v>195</v>
      </c>
      <c r="C38" s="40" t="s">
        <v>209</v>
      </c>
      <c r="D38" s="40" t="s">
        <v>318</v>
      </c>
      <c r="E38" s="39" t="s">
        <v>198</v>
      </c>
      <c r="F38" s="41" t="s">
        <v>228</v>
      </c>
    </row>
    <row r="39" spans="1:7" ht="42" hidden="1" x14ac:dyDescent="0.3">
      <c r="A39" s="28">
        <v>35</v>
      </c>
      <c r="B39" s="29" t="s">
        <v>195</v>
      </c>
      <c r="C39" s="30" t="s">
        <v>209</v>
      </c>
      <c r="D39" s="30" t="s">
        <v>320</v>
      </c>
      <c r="E39" s="29" t="s">
        <v>198</v>
      </c>
      <c r="F39" s="31" t="s">
        <v>228</v>
      </c>
    </row>
    <row r="40" spans="1:7" ht="28" hidden="1" x14ac:dyDescent="0.3">
      <c r="A40" s="38">
        <v>24</v>
      </c>
      <c r="B40" s="39" t="s">
        <v>225</v>
      </c>
      <c r="C40" s="40" t="s">
        <v>322</v>
      </c>
      <c r="D40" s="40" t="s">
        <v>323</v>
      </c>
      <c r="E40" s="39" t="s">
        <v>198</v>
      </c>
      <c r="F40" s="41" t="s">
        <v>228</v>
      </c>
    </row>
    <row r="41" spans="1:7" ht="42" x14ac:dyDescent="0.3">
      <c r="A41" s="28">
        <v>36</v>
      </c>
      <c r="B41" s="29" t="s">
        <v>49</v>
      </c>
      <c r="C41" s="30" t="s">
        <v>325</v>
      </c>
      <c r="D41" s="30" t="s">
        <v>326</v>
      </c>
      <c r="E41" s="29" t="s">
        <v>198</v>
      </c>
      <c r="F41" s="31" t="s">
        <v>228</v>
      </c>
      <c r="G41" t="s">
        <v>341</v>
      </c>
    </row>
    <row r="42" spans="1:7" hidden="1" x14ac:dyDescent="0.3">
      <c r="A42" s="43">
        <v>9</v>
      </c>
      <c r="B42" s="44" t="s">
        <v>225</v>
      </c>
      <c r="C42" s="45" t="s">
        <v>328</v>
      </c>
      <c r="D42" s="45" t="s">
        <v>329</v>
      </c>
      <c r="E42" s="39" t="s">
        <v>198</v>
      </c>
      <c r="F42" s="41" t="s">
        <v>228</v>
      </c>
    </row>
    <row r="43" spans="1:7" ht="28" x14ac:dyDescent="0.3">
      <c r="A43" s="28">
        <v>38</v>
      </c>
      <c r="B43" s="29" t="s">
        <v>49</v>
      </c>
      <c r="C43" s="30" t="s">
        <v>331</v>
      </c>
      <c r="D43" s="30" t="s">
        <v>332</v>
      </c>
      <c r="E43" s="29" t="s">
        <v>198</v>
      </c>
      <c r="F43" s="31" t="s">
        <v>228</v>
      </c>
      <c r="G43" t="s">
        <v>341</v>
      </c>
    </row>
    <row r="44" spans="1:7" ht="28" hidden="1" x14ac:dyDescent="0.3">
      <c r="A44" s="43">
        <v>16</v>
      </c>
      <c r="B44" s="39" t="s">
        <v>225</v>
      </c>
      <c r="C44" s="45" t="s">
        <v>334</v>
      </c>
      <c r="D44" s="45" t="s">
        <v>335</v>
      </c>
      <c r="E44" s="39" t="s">
        <v>198</v>
      </c>
      <c r="F44" s="41" t="s">
        <v>228</v>
      </c>
    </row>
    <row r="45" spans="1:7" ht="42" hidden="1" x14ac:dyDescent="0.3">
      <c r="A45" s="47">
        <v>15</v>
      </c>
      <c r="B45" s="48" t="s">
        <v>225</v>
      </c>
      <c r="C45" s="49" t="s">
        <v>337</v>
      </c>
      <c r="D45" s="49" t="s">
        <v>338</v>
      </c>
      <c r="E45" s="29" t="s">
        <v>198</v>
      </c>
      <c r="F45" s="50" t="s">
        <v>228</v>
      </c>
    </row>
    <row r="46" spans="1:7" hidden="1" x14ac:dyDescent="0.3">
      <c r="A46" s="52" t="s">
        <v>190</v>
      </c>
      <c r="B46" s="59"/>
      <c r="C46" s="60">
        <v>51</v>
      </c>
      <c r="D46" s="53">
        <v>54</v>
      </c>
      <c r="E46" s="54"/>
      <c r="F46" s="55"/>
    </row>
    <row r="47" spans="1:7" x14ac:dyDescent="0.3">
      <c r="A47" s="24" t="s">
        <v>190</v>
      </c>
      <c r="B47" s="24"/>
      <c r="C47" s="24"/>
      <c r="D47" s="24"/>
      <c r="E47" s="24"/>
      <c r="F47" s="24"/>
      <c r="G47" s="24">
        <f>SUBTOTAL(103,Table3[محضر معاينة])</f>
        <v>11</v>
      </c>
    </row>
  </sheetData>
  <pageMargins left="0.7" right="0.7" top="0.75" bottom="0.75" header="0.3" footer="0.3"/>
  <pageSetup paperSize="9" orientation="portrait"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F23E2-93AA-4F3A-A81B-505115BEA98D}">
  <sheetPr>
    <tabColor theme="9"/>
  </sheetPr>
  <dimension ref="A1:I300"/>
  <sheetViews>
    <sheetView rightToLeft="1" zoomScale="130" zoomScaleNormal="130" workbookViewId="0">
      <pane ySplit="2" topLeftCell="A11" activePane="bottomLeft" state="frozen"/>
      <selection pane="bottomLeft" activeCell="F10" sqref="F10"/>
    </sheetView>
  </sheetViews>
  <sheetFormatPr defaultRowHeight="14" x14ac:dyDescent="0.3"/>
  <cols>
    <col min="2" max="2" width="10.5" bestFit="1" customWidth="1"/>
    <col min="3" max="3" width="13.08203125" bestFit="1" customWidth="1"/>
    <col min="4" max="4" width="12.83203125" bestFit="1" customWidth="1"/>
    <col min="5" max="5" width="11.9140625" bestFit="1" customWidth="1"/>
    <col min="6" max="6" width="45.4140625" customWidth="1"/>
    <col min="7" max="7" width="11.5" customWidth="1"/>
    <col min="8" max="8" width="14.4140625" hidden="1" customWidth="1"/>
    <col min="9" max="9" width="63.5" style="85" customWidth="1"/>
  </cols>
  <sheetData>
    <row r="1" spans="1:9" ht="22.5" x14ac:dyDescent="0.45">
      <c r="A1" s="133"/>
      <c r="B1" s="133"/>
      <c r="C1" s="133"/>
      <c r="D1" s="132">
        <v>46292</v>
      </c>
      <c r="E1" s="132"/>
      <c r="F1" s="132"/>
      <c r="G1" s="132"/>
    </row>
    <row r="2" spans="1:9" ht="21" x14ac:dyDescent="0.3">
      <c r="A2" s="56" t="s">
        <v>0</v>
      </c>
      <c r="B2" s="56" t="s">
        <v>1</v>
      </c>
      <c r="C2" s="56" t="s">
        <v>2</v>
      </c>
      <c r="D2" s="56" t="s">
        <v>3</v>
      </c>
      <c r="E2" s="56" t="s">
        <v>191</v>
      </c>
      <c r="F2" s="56" t="s">
        <v>370</v>
      </c>
      <c r="G2" s="56" t="s">
        <v>192</v>
      </c>
      <c r="H2" s="62" t="s">
        <v>193</v>
      </c>
      <c r="I2" s="86" t="s">
        <v>194</v>
      </c>
    </row>
    <row r="3" spans="1:9" ht="308" hidden="1" x14ac:dyDescent="0.3">
      <c r="A3" s="77">
        <v>1</v>
      </c>
      <c r="B3" s="78" t="s">
        <v>195</v>
      </c>
      <c r="C3" s="79" t="s">
        <v>196</v>
      </c>
      <c r="D3" s="79" t="s">
        <v>197</v>
      </c>
      <c r="E3" s="78" t="s">
        <v>198</v>
      </c>
      <c r="F3" s="78"/>
      <c r="G3" s="80" t="s">
        <v>199</v>
      </c>
      <c r="H3" s="32"/>
      <c r="I3" s="81" t="s">
        <v>200</v>
      </c>
    </row>
    <row r="4" spans="1:9" ht="70" hidden="1" x14ac:dyDescent="0.3">
      <c r="A4" s="28">
        <v>50</v>
      </c>
      <c r="B4" s="29" t="s">
        <v>201</v>
      </c>
      <c r="C4" s="30" t="s">
        <v>202</v>
      </c>
      <c r="D4" s="30" t="s">
        <v>203</v>
      </c>
      <c r="E4" s="29" t="s">
        <v>198</v>
      </c>
      <c r="F4" s="29"/>
      <c r="G4" s="31" t="s">
        <v>204</v>
      </c>
      <c r="H4" s="31"/>
      <c r="I4" s="33" t="s">
        <v>205</v>
      </c>
    </row>
    <row r="5" spans="1:9" ht="84" hidden="1" x14ac:dyDescent="0.3">
      <c r="A5" s="28">
        <v>52</v>
      </c>
      <c r="B5" s="29" t="s">
        <v>177</v>
      </c>
      <c r="C5" s="30" t="s">
        <v>206</v>
      </c>
      <c r="D5" s="30" t="s">
        <v>207</v>
      </c>
      <c r="E5" s="29" t="s">
        <v>198</v>
      </c>
      <c r="F5" s="29"/>
      <c r="G5" s="31" t="s">
        <v>204</v>
      </c>
      <c r="H5" s="31"/>
      <c r="I5" s="33" t="s">
        <v>208</v>
      </c>
    </row>
    <row r="6" spans="1:9" ht="70" hidden="1" x14ac:dyDescent="0.3">
      <c r="A6" s="28">
        <v>49</v>
      </c>
      <c r="B6" s="29" t="s">
        <v>195</v>
      </c>
      <c r="C6" s="30" t="s">
        <v>209</v>
      </c>
      <c r="D6" s="30" t="s">
        <v>210</v>
      </c>
      <c r="E6" s="29" t="s">
        <v>198</v>
      </c>
      <c r="F6" s="29"/>
      <c r="G6" s="31" t="s">
        <v>204</v>
      </c>
      <c r="H6" s="34"/>
      <c r="I6" s="33" t="s">
        <v>211</v>
      </c>
    </row>
    <row r="7" spans="1:9" ht="56" hidden="1" x14ac:dyDescent="0.3">
      <c r="A7" s="28">
        <v>53</v>
      </c>
      <c r="B7" s="29" t="s">
        <v>195</v>
      </c>
      <c r="C7" s="30"/>
      <c r="D7" s="30" t="s">
        <v>212</v>
      </c>
      <c r="E7" s="29" t="s">
        <v>198</v>
      </c>
      <c r="F7" s="29"/>
      <c r="G7" s="31" t="s">
        <v>204</v>
      </c>
      <c r="H7" s="32"/>
      <c r="I7" s="33" t="s">
        <v>213</v>
      </c>
    </row>
    <row r="8" spans="1:9" ht="28" hidden="1" x14ac:dyDescent="0.3">
      <c r="A8" s="28">
        <v>51</v>
      </c>
      <c r="B8" s="29" t="s">
        <v>214</v>
      </c>
      <c r="C8" s="30" t="s">
        <v>215</v>
      </c>
      <c r="D8" s="30" t="s">
        <v>216</v>
      </c>
      <c r="E8" s="29" t="s">
        <v>198</v>
      </c>
      <c r="F8" s="29"/>
      <c r="G8" s="31" t="s">
        <v>204</v>
      </c>
      <c r="H8" s="31"/>
      <c r="I8" s="33" t="s">
        <v>217</v>
      </c>
    </row>
    <row r="9" spans="1:9" ht="70" hidden="1" x14ac:dyDescent="0.3">
      <c r="A9" s="28">
        <v>48</v>
      </c>
      <c r="B9" s="29" t="s">
        <v>177</v>
      </c>
      <c r="C9" s="30" t="s">
        <v>206</v>
      </c>
      <c r="D9" s="30" t="s">
        <v>218</v>
      </c>
      <c r="E9" s="29" t="s">
        <v>198</v>
      </c>
      <c r="F9" s="29"/>
      <c r="G9" s="31" t="s">
        <v>204</v>
      </c>
      <c r="H9" s="31"/>
      <c r="I9" s="33" t="s">
        <v>219</v>
      </c>
    </row>
    <row r="10" spans="1:9" ht="168" x14ac:dyDescent="0.3">
      <c r="A10" s="38">
        <v>4</v>
      </c>
      <c r="B10" s="39" t="s">
        <v>195</v>
      </c>
      <c r="C10" s="40" t="s">
        <v>232</v>
      </c>
      <c r="D10" s="40" t="s">
        <v>233</v>
      </c>
      <c r="E10" s="39" t="s">
        <v>353</v>
      </c>
      <c r="F10" s="39" t="s">
        <v>386</v>
      </c>
      <c r="G10" s="41" t="s">
        <v>228</v>
      </c>
      <c r="H10" s="114"/>
      <c r="I10" s="42" t="s">
        <v>234</v>
      </c>
    </row>
    <row r="11" spans="1:9" ht="238" x14ac:dyDescent="0.3">
      <c r="A11" s="28">
        <v>5</v>
      </c>
      <c r="B11" s="29" t="s">
        <v>195</v>
      </c>
      <c r="C11" s="30" t="s">
        <v>209</v>
      </c>
      <c r="D11" s="30" t="s">
        <v>307</v>
      </c>
      <c r="E11" s="29" t="s">
        <v>353</v>
      </c>
      <c r="F11" s="29" t="s">
        <v>385</v>
      </c>
      <c r="G11" s="31" t="s">
        <v>228</v>
      </c>
      <c r="H11" s="32"/>
      <c r="I11" s="33" t="s">
        <v>308</v>
      </c>
    </row>
    <row r="12" spans="1:9" hidden="1" x14ac:dyDescent="0.3">
      <c r="A12" s="72">
        <v>47</v>
      </c>
      <c r="B12" s="73" t="s">
        <v>8</v>
      </c>
      <c r="C12" s="74" t="s">
        <v>222</v>
      </c>
      <c r="D12" s="74" t="s">
        <v>223</v>
      </c>
      <c r="E12" s="73" t="s">
        <v>198</v>
      </c>
      <c r="F12" s="39"/>
      <c r="G12" s="75" t="s">
        <v>204</v>
      </c>
      <c r="H12" s="37"/>
      <c r="I12" s="76" t="s">
        <v>224</v>
      </c>
    </row>
    <row r="13" spans="1:9" ht="280" x14ac:dyDescent="0.3">
      <c r="A13" s="39">
        <v>6</v>
      </c>
      <c r="B13" s="39" t="s">
        <v>195</v>
      </c>
      <c r="C13" s="40" t="s">
        <v>309</v>
      </c>
      <c r="D13" s="40" t="s">
        <v>310</v>
      </c>
      <c r="E13" s="39" t="s">
        <v>354</v>
      </c>
      <c r="F13" s="39"/>
      <c r="G13" s="41" t="s">
        <v>18</v>
      </c>
      <c r="H13" s="65"/>
      <c r="I13" s="57" t="s">
        <v>343</v>
      </c>
    </row>
    <row r="14" spans="1:9" ht="252" x14ac:dyDescent="0.3">
      <c r="A14" s="39">
        <v>3</v>
      </c>
      <c r="B14" s="39" t="s">
        <v>195</v>
      </c>
      <c r="C14" s="40" t="s">
        <v>209</v>
      </c>
      <c r="D14" s="40" t="s">
        <v>314</v>
      </c>
      <c r="E14" s="39" t="s">
        <v>353</v>
      </c>
      <c r="F14" s="39"/>
      <c r="G14" s="41" t="s">
        <v>228</v>
      </c>
      <c r="H14" s="65"/>
      <c r="I14" s="57" t="s">
        <v>349</v>
      </c>
    </row>
    <row r="15" spans="1:9" ht="210" x14ac:dyDescent="0.3">
      <c r="A15" s="39">
        <v>2</v>
      </c>
      <c r="B15" s="39" t="s">
        <v>195</v>
      </c>
      <c r="C15" s="40" t="s">
        <v>209</v>
      </c>
      <c r="D15" s="40" t="s">
        <v>318</v>
      </c>
      <c r="E15" s="39" t="s">
        <v>353</v>
      </c>
      <c r="F15" s="39" t="s">
        <v>385</v>
      </c>
      <c r="G15" s="41" t="s">
        <v>228</v>
      </c>
      <c r="H15" s="65"/>
      <c r="I15" s="57" t="s">
        <v>319</v>
      </c>
    </row>
    <row r="16" spans="1:9" ht="28" x14ac:dyDescent="0.3">
      <c r="A16" s="29">
        <v>35</v>
      </c>
      <c r="B16" s="29" t="s">
        <v>195</v>
      </c>
      <c r="C16" s="30" t="s">
        <v>209</v>
      </c>
      <c r="D16" s="30" t="s">
        <v>320</v>
      </c>
      <c r="E16" s="39" t="s">
        <v>355</v>
      </c>
      <c r="F16" s="39"/>
      <c r="G16" s="31" t="s">
        <v>228</v>
      </c>
      <c r="H16" s="64"/>
      <c r="I16" s="58" t="s">
        <v>321</v>
      </c>
    </row>
    <row r="17" spans="1:9" ht="168" x14ac:dyDescent="0.3">
      <c r="A17" s="39">
        <v>7</v>
      </c>
      <c r="B17" s="39" t="s">
        <v>214</v>
      </c>
      <c r="C17" s="40" t="s">
        <v>259</v>
      </c>
      <c r="D17" s="40" t="s">
        <v>260</v>
      </c>
      <c r="E17" s="39" t="s">
        <v>355</v>
      </c>
      <c r="F17" s="39" t="s">
        <v>381</v>
      </c>
      <c r="G17" s="41" t="s">
        <v>228</v>
      </c>
      <c r="H17" s="63"/>
      <c r="I17" s="57" t="s">
        <v>261</v>
      </c>
    </row>
    <row r="18" spans="1:9" ht="182" x14ac:dyDescent="0.3">
      <c r="A18" s="39">
        <v>22</v>
      </c>
      <c r="B18" s="39" t="s">
        <v>225</v>
      </c>
      <c r="C18" s="40" t="s">
        <v>226</v>
      </c>
      <c r="D18" s="40" t="s">
        <v>227</v>
      </c>
      <c r="E18" s="39" t="s">
        <v>355</v>
      </c>
      <c r="F18" s="39" t="s">
        <v>371</v>
      </c>
      <c r="G18" s="41" t="s">
        <v>228</v>
      </c>
      <c r="H18" s="63"/>
      <c r="I18" s="57" t="s">
        <v>229</v>
      </c>
    </row>
    <row r="19" spans="1:9" ht="210" x14ac:dyDescent="0.3">
      <c r="A19" s="39">
        <v>8</v>
      </c>
      <c r="B19" s="39" t="s">
        <v>225</v>
      </c>
      <c r="C19" s="40" t="s">
        <v>242</v>
      </c>
      <c r="D19" s="40" t="s">
        <v>243</v>
      </c>
      <c r="E19" s="39" t="s">
        <v>355</v>
      </c>
      <c r="F19" s="39" t="s">
        <v>372</v>
      </c>
      <c r="G19" s="41" t="s">
        <v>228</v>
      </c>
      <c r="H19" s="68" t="s">
        <v>244</v>
      </c>
      <c r="I19" s="57" t="s">
        <v>245</v>
      </c>
    </row>
    <row r="20" spans="1:9" ht="154" x14ac:dyDescent="0.3">
      <c r="A20" s="29">
        <v>20</v>
      </c>
      <c r="B20" s="29" t="s">
        <v>225</v>
      </c>
      <c r="C20" s="30" t="s">
        <v>246</v>
      </c>
      <c r="D20" s="30" t="s">
        <v>247</v>
      </c>
      <c r="E20" s="39" t="s">
        <v>355</v>
      </c>
      <c r="F20" s="39" t="s">
        <v>373</v>
      </c>
      <c r="G20" s="31" t="s">
        <v>228</v>
      </c>
      <c r="H20" s="66"/>
      <c r="I20" s="58" t="s">
        <v>248</v>
      </c>
    </row>
    <row r="21" spans="1:9" ht="126" x14ac:dyDescent="0.3">
      <c r="A21" s="29">
        <v>19</v>
      </c>
      <c r="B21" s="29" t="s">
        <v>225</v>
      </c>
      <c r="C21" s="30" t="s">
        <v>256</v>
      </c>
      <c r="D21" s="30" t="s">
        <v>257</v>
      </c>
      <c r="E21" s="39" t="s">
        <v>355</v>
      </c>
      <c r="F21" s="39" t="s">
        <v>373</v>
      </c>
      <c r="G21" s="31" t="s">
        <v>228</v>
      </c>
      <c r="H21" s="66"/>
      <c r="I21" s="58" t="s">
        <v>258</v>
      </c>
    </row>
    <row r="22" spans="1:9" ht="126" x14ac:dyDescent="0.3">
      <c r="A22" s="29">
        <v>18</v>
      </c>
      <c r="B22" s="29" t="s">
        <v>225</v>
      </c>
      <c r="C22" s="30" t="s">
        <v>267</v>
      </c>
      <c r="D22" s="30" t="s">
        <v>268</v>
      </c>
      <c r="E22" s="39" t="s">
        <v>355</v>
      </c>
      <c r="F22" s="39" t="s">
        <v>373</v>
      </c>
      <c r="G22" s="31" t="s">
        <v>228</v>
      </c>
      <c r="H22" s="66"/>
      <c r="I22" s="58" t="s">
        <v>269</v>
      </c>
    </row>
    <row r="23" spans="1:9" ht="126" x14ac:dyDescent="0.3">
      <c r="A23" s="39">
        <v>17</v>
      </c>
      <c r="B23" s="39" t="s">
        <v>225</v>
      </c>
      <c r="C23" s="40" t="s">
        <v>270</v>
      </c>
      <c r="D23" s="40" t="s">
        <v>271</v>
      </c>
      <c r="E23" s="39" t="s">
        <v>355</v>
      </c>
      <c r="F23" s="39" t="s">
        <v>373</v>
      </c>
      <c r="G23" s="41" t="s">
        <v>228</v>
      </c>
      <c r="H23" s="63"/>
      <c r="I23" s="57" t="s">
        <v>272</v>
      </c>
    </row>
    <row r="24" spans="1:9" ht="126" x14ac:dyDescent="0.3">
      <c r="A24" s="29">
        <v>21</v>
      </c>
      <c r="B24" s="29" t="s">
        <v>225</v>
      </c>
      <c r="C24" s="30" t="s">
        <v>277</v>
      </c>
      <c r="D24" s="30" t="s">
        <v>278</v>
      </c>
      <c r="E24" s="39" t="s">
        <v>355</v>
      </c>
      <c r="F24" s="39" t="s">
        <v>373</v>
      </c>
      <c r="G24" s="31" t="s">
        <v>228</v>
      </c>
      <c r="H24" s="66"/>
      <c r="I24" s="58" t="s">
        <v>279</v>
      </c>
    </row>
    <row r="25" spans="1:9" ht="126" x14ac:dyDescent="0.3">
      <c r="A25" s="29">
        <v>23</v>
      </c>
      <c r="B25" s="29" t="s">
        <v>225</v>
      </c>
      <c r="C25" s="30" t="s">
        <v>284</v>
      </c>
      <c r="D25" s="30" t="s">
        <v>285</v>
      </c>
      <c r="E25" s="39" t="s">
        <v>355</v>
      </c>
      <c r="F25" s="39" t="s">
        <v>373</v>
      </c>
      <c r="G25" s="31" t="s">
        <v>228</v>
      </c>
      <c r="H25" s="66"/>
      <c r="I25" s="58" t="s">
        <v>286</v>
      </c>
    </row>
    <row r="26" spans="1:9" ht="182" x14ac:dyDescent="0.3">
      <c r="A26" s="39">
        <v>14</v>
      </c>
      <c r="B26" s="39" t="s">
        <v>225</v>
      </c>
      <c r="C26" s="40" t="s">
        <v>287</v>
      </c>
      <c r="D26" s="40" t="s">
        <v>288</v>
      </c>
      <c r="E26" s="39" t="s">
        <v>355</v>
      </c>
      <c r="F26" s="39" t="s">
        <v>373</v>
      </c>
      <c r="G26" s="41" t="s">
        <v>228</v>
      </c>
      <c r="H26" s="63"/>
      <c r="I26" s="57" t="s">
        <v>289</v>
      </c>
    </row>
    <row r="27" spans="1:9" ht="168" x14ac:dyDescent="0.3">
      <c r="A27" s="29">
        <v>13</v>
      </c>
      <c r="B27" s="29" t="s">
        <v>225</v>
      </c>
      <c r="C27" s="30" t="s">
        <v>290</v>
      </c>
      <c r="D27" s="30" t="s">
        <v>291</v>
      </c>
      <c r="E27" s="39" t="s">
        <v>355</v>
      </c>
      <c r="F27" s="39" t="s">
        <v>373</v>
      </c>
      <c r="G27" s="31" t="s">
        <v>228</v>
      </c>
      <c r="H27" s="66"/>
      <c r="I27" s="58" t="s">
        <v>292</v>
      </c>
    </row>
    <row r="28" spans="1:9" ht="182" x14ac:dyDescent="0.3">
      <c r="A28" s="29">
        <v>12</v>
      </c>
      <c r="B28" s="29" t="s">
        <v>225</v>
      </c>
      <c r="C28" s="30" t="s">
        <v>294</v>
      </c>
      <c r="D28" s="30" t="s">
        <v>295</v>
      </c>
      <c r="E28" s="39" t="s">
        <v>355</v>
      </c>
      <c r="F28" s="39" t="s">
        <v>373</v>
      </c>
      <c r="G28" s="31" t="s">
        <v>228</v>
      </c>
      <c r="H28" s="66"/>
      <c r="I28" s="58" t="s">
        <v>296</v>
      </c>
    </row>
    <row r="29" spans="1:9" ht="168" x14ac:dyDescent="0.3">
      <c r="A29" s="39">
        <v>11</v>
      </c>
      <c r="B29" s="39" t="s">
        <v>225</v>
      </c>
      <c r="C29" s="40" t="s">
        <v>297</v>
      </c>
      <c r="D29" s="40" t="s">
        <v>298</v>
      </c>
      <c r="E29" s="39" t="s">
        <v>355</v>
      </c>
      <c r="F29" s="39" t="s">
        <v>373</v>
      </c>
      <c r="G29" s="41" t="s">
        <v>228</v>
      </c>
      <c r="H29" s="63"/>
      <c r="I29" s="57" t="s">
        <v>299</v>
      </c>
    </row>
    <row r="30" spans="1:9" ht="358.5" customHeight="1" x14ac:dyDescent="0.3">
      <c r="A30" s="39">
        <v>9</v>
      </c>
      <c r="B30" s="39" t="s">
        <v>225</v>
      </c>
      <c r="C30" s="40" t="s">
        <v>328</v>
      </c>
      <c r="D30" s="40" t="s">
        <v>329</v>
      </c>
      <c r="E30" s="39" t="s">
        <v>355</v>
      </c>
      <c r="F30" s="39" t="s">
        <v>373</v>
      </c>
      <c r="G30" s="41" t="s">
        <v>228</v>
      </c>
      <c r="H30" s="63"/>
      <c r="I30" s="57" t="s">
        <v>330</v>
      </c>
    </row>
    <row r="31" spans="1:9" ht="182" x14ac:dyDescent="0.3">
      <c r="A31" s="29">
        <v>10</v>
      </c>
      <c r="B31" s="29" t="s">
        <v>225</v>
      </c>
      <c r="C31" s="30" t="s">
        <v>311</v>
      </c>
      <c r="D31" s="30" t="s">
        <v>312</v>
      </c>
      <c r="E31" s="39" t="s">
        <v>355</v>
      </c>
      <c r="F31" s="39" t="s">
        <v>377</v>
      </c>
      <c r="G31" s="31" t="s">
        <v>228</v>
      </c>
      <c r="H31" s="66"/>
      <c r="I31" s="58" t="s">
        <v>313</v>
      </c>
    </row>
    <row r="32" spans="1:9" ht="154" x14ac:dyDescent="0.3">
      <c r="A32" s="39">
        <v>24</v>
      </c>
      <c r="B32" s="39" t="s">
        <v>225</v>
      </c>
      <c r="C32" s="40" t="s">
        <v>322</v>
      </c>
      <c r="D32" s="40" t="s">
        <v>323</v>
      </c>
      <c r="E32" s="39" t="s">
        <v>355</v>
      </c>
      <c r="F32" s="39" t="s">
        <v>378</v>
      </c>
      <c r="G32" s="41" t="s">
        <v>228</v>
      </c>
      <c r="H32" s="63"/>
      <c r="I32" s="57" t="s">
        <v>324</v>
      </c>
    </row>
    <row r="33" spans="1:9" ht="140" x14ac:dyDescent="0.3">
      <c r="A33" s="39">
        <v>16</v>
      </c>
      <c r="B33" s="39" t="s">
        <v>225</v>
      </c>
      <c r="C33" s="40" t="s">
        <v>334</v>
      </c>
      <c r="D33" s="40" t="s">
        <v>335</v>
      </c>
      <c r="E33" s="39" t="s">
        <v>355</v>
      </c>
      <c r="F33" s="39" t="s">
        <v>373</v>
      </c>
      <c r="G33" s="41" t="s">
        <v>228</v>
      </c>
      <c r="H33" s="63"/>
      <c r="I33" s="57" t="s">
        <v>336</v>
      </c>
    </row>
    <row r="34" spans="1:9" ht="126" x14ac:dyDescent="0.3">
      <c r="A34" s="29">
        <v>15</v>
      </c>
      <c r="B34" s="29" t="s">
        <v>225</v>
      </c>
      <c r="C34" s="30" t="s">
        <v>337</v>
      </c>
      <c r="D34" s="30" t="s">
        <v>338</v>
      </c>
      <c r="E34" s="39" t="s">
        <v>355</v>
      </c>
      <c r="F34" s="39" t="s">
        <v>379</v>
      </c>
      <c r="G34" s="31" t="s">
        <v>228</v>
      </c>
      <c r="H34" s="66"/>
      <c r="I34" s="58" t="s">
        <v>339</v>
      </c>
    </row>
    <row r="35" spans="1:9" ht="82.5" customHeight="1" x14ac:dyDescent="0.3">
      <c r="A35" s="29">
        <v>26</v>
      </c>
      <c r="B35" s="29" t="s">
        <v>49</v>
      </c>
      <c r="C35" s="30" t="s">
        <v>235</v>
      </c>
      <c r="D35" s="30" t="s">
        <v>236</v>
      </c>
      <c r="E35" s="39" t="s">
        <v>355</v>
      </c>
      <c r="F35" s="39" t="s">
        <v>379</v>
      </c>
      <c r="G35" s="31" t="s">
        <v>228</v>
      </c>
      <c r="H35" s="66"/>
      <c r="I35" s="58" t="s">
        <v>237</v>
      </c>
    </row>
    <row r="36" spans="1:9" ht="168" x14ac:dyDescent="0.3">
      <c r="A36" s="29">
        <v>42</v>
      </c>
      <c r="B36" s="29" t="s">
        <v>49</v>
      </c>
      <c r="C36" s="30" t="s">
        <v>239</v>
      </c>
      <c r="D36" s="30" t="s">
        <v>240</v>
      </c>
      <c r="E36" s="39" t="s">
        <v>355</v>
      </c>
      <c r="F36" s="39" t="s">
        <v>379</v>
      </c>
      <c r="G36" s="31" t="s">
        <v>228</v>
      </c>
      <c r="H36" s="67"/>
      <c r="I36" s="58" t="s">
        <v>241</v>
      </c>
    </row>
    <row r="37" spans="1:9" ht="182" x14ac:dyDescent="0.3">
      <c r="A37" s="39">
        <v>43</v>
      </c>
      <c r="B37" s="39" t="s">
        <v>49</v>
      </c>
      <c r="C37" s="40" t="s">
        <v>253</v>
      </c>
      <c r="D37" s="40" t="s">
        <v>254</v>
      </c>
      <c r="E37" s="39" t="s">
        <v>355</v>
      </c>
      <c r="F37" s="39" t="s">
        <v>379</v>
      </c>
      <c r="G37" s="41" t="s">
        <v>228</v>
      </c>
      <c r="H37" s="69"/>
      <c r="I37" s="57" t="s">
        <v>255</v>
      </c>
    </row>
    <row r="38" spans="1:9" ht="182" x14ac:dyDescent="0.3">
      <c r="A38" s="29">
        <v>41</v>
      </c>
      <c r="B38" s="29" t="s">
        <v>49</v>
      </c>
      <c r="C38" s="30" t="s">
        <v>262</v>
      </c>
      <c r="D38" s="30" t="s">
        <v>263</v>
      </c>
      <c r="E38" s="39" t="s">
        <v>355</v>
      </c>
      <c r="F38" s="39" t="s">
        <v>379</v>
      </c>
      <c r="G38" s="31" t="s">
        <v>228</v>
      </c>
      <c r="H38" s="67"/>
      <c r="I38" s="58" t="s">
        <v>255</v>
      </c>
    </row>
    <row r="39" spans="1:9" ht="168" x14ac:dyDescent="0.3">
      <c r="A39" s="39">
        <v>40</v>
      </c>
      <c r="B39" s="39" t="s">
        <v>49</v>
      </c>
      <c r="C39" s="40" t="s">
        <v>264</v>
      </c>
      <c r="D39" s="40" t="s">
        <v>265</v>
      </c>
      <c r="E39" s="39" t="s">
        <v>355</v>
      </c>
      <c r="F39" s="39" t="s">
        <v>380</v>
      </c>
      <c r="G39" s="41" t="s">
        <v>228</v>
      </c>
      <c r="H39" s="69"/>
      <c r="I39" s="57" t="s">
        <v>266</v>
      </c>
    </row>
    <row r="40" spans="1:9" ht="182" x14ac:dyDescent="0.3">
      <c r="A40" s="29">
        <v>45</v>
      </c>
      <c r="B40" s="29" t="s">
        <v>49</v>
      </c>
      <c r="C40" s="30" t="s">
        <v>273</v>
      </c>
      <c r="D40" s="30" t="s">
        <v>274</v>
      </c>
      <c r="E40" s="39" t="s">
        <v>355</v>
      </c>
      <c r="F40" s="39" t="s">
        <v>381</v>
      </c>
      <c r="G40" s="31" t="s">
        <v>228</v>
      </c>
      <c r="H40" s="67"/>
      <c r="I40" s="58" t="s">
        <v>255</v>
      </c>
    </row>
    <row r="41" spans="1:9" ht="182" x14ac:dyDescent="0.3">
      <c r="A41" s="39">
        <v>44</v>
      </c>
      <c r="B41" s="39" t="s">
        <v>49</v>
      </c>
      <c r="C41" s="40" t="s">
        <v>275</v>
      </c>
      <c r="D41" s="40" t="s">
        <v>276</v>
      </c>
      <c r="E41" s="39" t="s">
        <v>355</v>
      </c>
      <c r="F41" s="39" t="s">
        <v>381</v>
      </c>
      <c r="G41" s="41" t="s">
        <v>228</v>
      </c>
      <c r="H41" s="69"/>
      <c r="I41" s="57" t="s">
        <v>255</v>
      </c>
    </row>
    <row r="42" spans="1:9" ht="336" x14ac:dyDescent="0.3">
      <c r="A42" s="39">
        <v>25</v>
      </c>
      <c r="B42" s="39" t="s">
        <v>49</v>
      </c>
      <c r="C42" s="40" t="s">
        <v>303</v>
      </c>
      <c r="D42" s="40" t="s">
        <v>304</v>
      </c>
      <c r="E42" s="39" t="s">
        <v>355</v>
      </c>
      <c r="F42" s="39" t="s">
        <v>374</v>
      </c>
      <c r="G42" s="41" t="s">
        <v>228</v>
      </c>
      <c r="H42" s="65" t="s">
        <v>305</v>
      </c>
      <c r="I42" s="57" t="s">
        <v>306</v>
      </c>
    </row>
    <row r="43" spans="1:9" ht="182" x14ac:dyDescent="0.3">
      <c r="A43" s="29">
        <v>36</v>
      </c>
      <c r="B43" s="29" t="s">
        <v>49</v>
      </c>
      <c r="C43" s="30" t="s">
        <v>325</v>
      </c>
      <c r="D43" s="30" t="s">
        <v>326</v>
      </c>
      <c r="E43" s="39" t="s">
        <v>355</v>
      </c>
      <c r="F43" s="39" t="s">
        <v>380</v>
      </c>
      <c r="G43" s="31" t="s">
        <v>228</v>
      </c>
      <c r="H43" s="67"/>
      <c r="I43" s="58" t="s">
        <v>327</v>
      </c>
    </row>
    <row r="44" spans="1:9" ht="182" x14ac:dyDescent="0.3">
      <c r="A44" s="29">
        <v>38</v>
      </c>
      <c r="B44" s="29" t="s">
        <v>49</v>
      </c>
      <c r="C44" s="30" t="s">
        <v>331</v>
      </c>
      <c r="D44" s="30" t="s">
        <v>332</v>
      </c>
      <c r="E44" s="39" t="s">
        <v>355</v>
      </c>
      <c r="F44" s="39" t="s">
        <v>380</v>
      </c>
      <c r="G44" s="31" t="s">
        <v>228</v>
      </c>
      <c r="H44" s="67"/>
      <c r="I44" s="58" t="s">
        <v>333</v>
      </c>
    </row>
    <row r="45" spans="1:9" ht="280" customHeight="1" x14ac:dyDescent="0.5">
      <c r="A45" s="29"/>
      <c r="B45" s="29" t="s">
        <v>49</v>
      </c>
      <c r="C45" s="35" t="s">
        <v>300</v>
      </c>
      <c r="D45" s="36" t="s">
        <v>301</v>
      </c>
      <c r="E45" s="39" t="s">
        <v>355</v>
      </c>
      <c r="F45" s="29" t="s">
        <v>381</v>
      </c>
      <c r="G45" s="31" t="s">
        <v>18</v>
      </c>
      <c r="H45" s="67"/>
      <c r="I45" s="58" t="s">
        <v>302</v>
      </c>
    </row>
    <row r="46" spans="1:9" ht="70" x14ac:dyDescent="0.3">
      <c r="A46" s="29">
        <v>33</v>
      </c>
      <c r="B46" s="29" t="s">
        <v>177</v>
      </c>
      <c r="C46" s="30" t="s">
        <v>206</v>
      </c>
      <c r="D46" s="30" t="s">
        <v>230</v>
      </c>
      <c r="E46" s="29" t="s">
        <v>354</v>
      </c>
      <c r="F46" s="39" t="s">
        <v>382</v>
      </c>
      <c r="G46" s="31" t="s">
        <v>228</v>
      </c>
      <c r="H46" s="64"/>
      <c r="I46" s="58" t="s">
        <v>231</v>
      </c>
    </row>
    <row r="47" spans="1:9" ht="112" x14ac:dyDescent="0.3">
      <c r="A47" s="39">
        <v>32</v>
      </c>
      <c r="B47" s="39" t="s">
        <v>177</v>
      </c>
      <c r="C47" s="40" t="s">
        <v>206</v>
      </c>
      <c r="D47" s="40" t="s">
        <v>238</v>
      </c>
      <c r="E47" s="39" t="s">
        <v>355</v>
      </c>
      <c r="F47" s="39" t="s">
        <v>373</v>
      </c>
      <c r="G47" s="41" t="s">
        <v>228</v>
      </c>
      <c r="H47" s="65"/>
      <c r="I47" s="57" t="s">
        <v>346</v>
      </c>
    </row>
    <row r="48" spans="1:9" ht="56" x14ac:dyDescent="0.3">
      <c r="A48" s="39">
        <v>34</v>
      </c>
      <c r="B48" s="39" t="s">
        <v>177</v>
      </c>
      <c r="C48" s="40" t="s">
        <v>206</v>
      </c>
      <c r="D48" s="40" t="s">
        <v>249</v>
      </c>
      <c r="E48" s="39" t="s">
        <v>355</v>
      </c>
      <c r="F48" s="39" t="s">
        <v>383</v>
      </c>
      <c r="G48" s="41" t="s">
        <v>228</v>
      </c>
      <c r="H48" s="65"/>
      <c r="I48" s="57" t="s">
        <v>250</v>
      </c>
    </row>
    <row r="49" spans="1:9" ht="56" x14ac:dyDescent="0.3">
      <c r="A49" s="29">
        <v>46</v>
      </c>
      <c r="B49" s="29" t="s">
        <v>177</v>
      </c>
      <c r="C49" s="30" t="s">
        <v>251</v>
      </c>
      <c r="D49" s="30" t="s">
        <v>249</v>
      </c>
      <c r="E49" s="39" t="s">
        <v>355</v>
      </c>
      <c r="F49" s="39" t="s">
        <v>383</v>
      </c>
      <c r="G49" s="31" t="s">
        <v>228</v>
      </c>
      <c r="H49" s="64"/>
      <c r="I49" s="58" t="s">
        <v>252</v>
      </c>
    </row>
    <row r="50" spans="1:9" ht="126" x14ac:dyDescent="0.3">
      <c r="A50" s="39">
        <v>31</v>
      </c>
      <c r="B50" s="39" t="s">
        <v>177</v>
      </c>
      <c r="C50" s="40" t="s">
        <v>206</v>
      </c>
      <c r="D50" s="40" t="s">
        <v>280</v>
      </c>
      <c r="E50" s="39" t="s">
        <v>354</v>
      </c>
      <c r="F50" s="39" t="s">
        <v>384</v>
      </c>
      <c r="G50" s="41" t="s">
        <v>228</v>
      </c>
      <c r="H50" s="65"/>
      <c r="I50" s="57" t="s">
        <v>347</v>
      </c>
    </row>
    <row r="51" spans="1:9" ht="56" x14ac:dyDescent="0.3">
      <c r="A51" s="29">
        <v>30</v>
      </c>
      <c r="B51" s="29" t="s">
        <v>177</v>
      </c>
      <c r="C51" s="30" t="s">
        <v>206</v>
      </c>
      <c r="D51" s="30" t="s">
        <v>281</v>
      </c>
      <c r="E51" s="39" t="s">
        <v>355</v>
      </c>
      <c r="F51" s="39" t="s">
        <v>379</v>
      </c>
      <c r="G51" s="31" t="s">
        <v>228</v>
      </c>
      <c r="H51" s="64"/>
      <c r="I51" s="58" t="s">
        <v>282</v>
      </c>
    </row>
    <row r="52" spans="1:9" ht="16" hidden="1" x14ac:dyDescent="0.5">
      <c r="A52" s="29"/>
      <c r="B52" s="29" t="s">
        <v>49</v>
      </c>
      <c r="C52" s="35"/>
      <c r="D52" s="36" t="s">
        <v>220</v>
      </c>
      <c r="E52" s="29" t="s">
        <v>198</v>
      </c>
      <c r="F52" s="39" t="s">
        <v>375</v>
      </c>
      <c r="G52" s="31" t="s">
        <v>204</v>
      </c>
      <c r="H52" s="67"/>
      <c r="I52" s="58"/>
    </row>
    <row r="53" spans="1:9" ht="16" hidden="1" x14ac:dyDescent="0.5">
      <c r="A53" s="29"/>
      <c r="B53" s="29" t="s">
        <v>49</v>
      </c>
      <c r="C53" s="35"/>
      <c r="D53" s="36" t="s">
        <v>221</v>
      </c>
      <c r="E53" s="29" t="s">
        <v>198</v>
      </c>
      <c r="F53" s="39" t="s">
        <v>376</v>
      </c>
      <c r="G53" s="31" t="s">
        <v>204</v>
      </c>
      <c r="H53" s="84"/>
      <c r="I53" s="58"/>
    </row>
    <row r="54" spans="1:9" ht="56" x14ac:dyDescent="0.3">
      <c r="A54" s="39">
        <v>29</v>
      </c>
      <c r="B54" s="39" t="s">
        <v>177</v>
      </c>
      <c r="C54" s="40" t="s">
        <v>206</v>
      </c>
      <c r="D54" s="40" t="s">
        <v>283</v>
      </c>
      <c r="E54" s="39" t="s">
        <v>355</v>
      </c>
      <c r="F54" s="39" t="s">
        <v>379</v>
      </c>
      <c r="G54" s="41" t="s">
        <v>228</v>
      </c>
      <c r="H54" s="65"/>
      <c r="I54" s="57" t="s">
        <v>282</v>
      </c>
    </row>
    <row r="55" spans="1:9" ht="140" x14ac:dyDescent="0.3">
      <c r="A55" s="39">
        <v>28</v>
      </c>
      <c r="B55" s="39" t="s">
        <v>177</v>
      </c>
      <c r="C55" s="40" t="s">
        <v>206</v>
      </c>
      <c r="D55" s="40" t="s">
        <v>293</v>
      </c>
      <c r="E55" s="39" t="s">
        <v>355</v>
      </c>
      <c r="F55" s="39"/>
      <c r="G55" s="41" t="s">
        <v>228</v>
      </c>
      <c r="H55" s="115"/>
      <c r="I55" s="57" t="s">
        <v>348</v>
      </c>
    </row>
    <row r="56" spans="1:9" ht="56" x14ac:dyDescent="0.3">
      <c r="A56" s="29">
        <v>27</v>
      </c>
      <c r="B56" s="29" t="s">
        <v>177</v>
      </c>
      <c r="C56" s="30" t="s">
        <v>206</v>
      </c>
      <c r="D56" s="30" t="s">
        <v>316</v>
      </c>
      <c r="E56" s="39" t="s">
        <v>355</v>
      </c>
      <c r="F56" s="39"/>
      <c r="G56" s="31" t="s">
        <v>228</v>
      </c>
      <c r="H56" s="116"/>
      <c r="I56" s="58" t="s">
        <v>317</v>
      </c>
    </row>
    <row r="57" spans="1:9" x14ac:dyDescent="0.3">
      <c r="A57" s="83" t="s">
        <v>190</v>
      </c>
      <c r="B57" s="83">
        <f>SUBTOTAL(103,Table27[المدينة])</f>
        <v>44</v>
      </c>
      <c r="C57" s="83">
        <f>SUBTOTAL(103,Table27[رقم الارض])</f>
        <v>44</v>
      </c>
      <c r="D57" s="83"/>
      <c r="E57" s="83"/>
      <c r="F57" s="113"/>
      <c r="G57" s="83"/>
      <c r="H57" s="83"/>
      <c r="I57" s="87">
        <f>SUBTOTAL(103,Table27[الإجراءات])</f>
        <v>44</v>
      </c>
    </row>
    <row r="300" spans="9:9" x14ac:dyDescent="0.3">
      <c r="I300" s="85">
        <f>C59</f>
        <v>0</v>
      </c>
    </row>
  </sheetData>
  <mergeCells count="2">
    <mergeCell ref="A1:C1"/>
    <mergeCell ref="D1:G1"/>
  </mergeCells>
  <pageMargins left="0.25" right="0.25" top="0.75" bottom="0.75" header="0.3" footer="0.3"/>
  <pageSetup paperSize="9" fitToWidth="0" fitToHeight="0" orientation="landscape" r:id="rId1"/>
  <rowBreaks count="1" manualBreakCount="1">
    <brk id="57" max="16383" man="1"/>
  </rowBreaks>
  <legacyDrawing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A64F9-5C54-4268-9188-5502E04BEDCD}">
  <dimension ref="A1:F22"/>
  <sheetViews>
    <sheetView rightToLeft="1" workbookViewId="0">
      <selection activeCell="A20" sqref="A20:D22"/>
    </sheetView>
  </sheetViews>
  <sheetFormatPr defaultRowHeight="14" x14ac:dyDescent="0.3"/>
  <cols>
    <col min="2" max="2" width="9.58203125" bestFit="1" customWidth="1"/>
    <col min="3" max="3" width="12.5" bestFit="1" customWidth="1"/>
    <col min="4" max="4" width="19.83203125" bestFit="1" customWidth="1"/>
    <col min="5" max="5" width="10.6640625" customWidth="1"/>
    <col min="6" max="6" width="14.6640625" customWidth="1"/>
    <col min="7" max="7" width="18.1640625" customWidth="1"/>
    <col min="8" max="8" width="18" customWidth="1"/>
  </cols>
  <sheetData>
    <row r="1" spans="1:6" ht="23" x14ac:dyDescent="0.3">
      <c r="A1" s="127" t="s">
        <v>422</v>
      </c>
      <c r="B1" s="127"/>
      <c r="C1" s="127"/>
      <c r="D1" s="127"/>
      <c r="E1" s="127"/>
      <c r="F1" s="127"/>
    </row>
    <row r="3" spans="1:6" ht="18.5" x14ac:dyDescent="0.3">
      <c r="A3" s="117" t="s">
        <v>0</v>
      </c>
      <c r="B3" s="129" t="s">
        <v>1</v>
      </c>
      <c r="C3" s="129" t="s">
        <v>2</v>
      </c>
      <c r="D3" s="130" t="s">
        <v>3</v>
      </c>
    </row>
    <row r="4" spans="1:6" x14ac:dyDescent="0.3">
      <c r="A4" s="12">
        <v>1</v>
      </c>
      <c r="B4" s="1" t="s">
        <v>8</v>
      </c>
      <c r="C4" s="2" t="s">
        <v>16</v>
      </c>
      <c r="D4" s="3" t="s">
        <v>17</v>
      </c>
    </row>
    <row r="5" spans="1:6" x14ac:dyDescent="0.3">
      <c r="A5" s="12">
        <v>2</v>
      </c>
      <c r="B5" s="1" t="s">
        <v>8</v>
      </c>
      <c r="C5" s="2" t="s">
        <v>24</v>
      </c>
      <c r="D5" s="3" t="s">
        <v>25</v>
      </c>
    </row>
    <row r="6" spans="1:6" x14ac:dyDescent="0.3">
      <c r="A6" s="107">
        <v>3</v>
      </c>
      <c r="B6" s="108" t="s">
        <v>8</v>
      </c>
      <c r="C6" s="109" t="s">
        <v>15</v>
      </c>
      <c r="D6" s="110" t="s">
        <v>10</v>
      </c>
    </row>
    <row r="9" spans="1:6" x14ac:dyDescent="0.3">
      <c r="A9" t="s">
        <v>423</v>
      </c>
    </row>
    <row r="10" spans="1:6" ht="14.5" thickBot="1" x14ac:dyDescent="0.35"/>
    <row r="11" spans="1:6" ht="18.5" x14ac:dyDescent="0.3">
      <c r="A11" s="122" t="s">
        <v>0</v>
      </c>
      <c r="B11" s="88" t="s">
        <v>1</v>
      </c>
      <c r="C11" s="88" t="s">
        <v>2</v>
      </c>
      <c r="D11" s="89" t="s">
        <v>3</v>
      </c>
    </row>
    <row r="12" spans="1:6" x14ac:dyDescent="0.3">
      <c r="A12" s="123">
        <v>41</v>
      </c>
      <c r="B12" s="124" t="s">
        <v>8</v>
      </c>
      <c r="C12" s="125" t="s">
        <v>31</v>
      </c>
      <c r="D12" s="126" t="s">
        <v>32</v>
      </c>
    </row>
    <row r="13" spans="1:6" x14ac:dyDescent="0.3">
      <c r="A13" s="128">
        <v>45</v>
      </c>
      <c r="B13" s="1" t="s">
        <v>8</v>
      </c>
      <c r="C13" s="2" t="s">
        <v>34</v>
      </c>
      <c r="D13" s="3" t="s">
        <v>32</v>
      </c>
    </row>
    <row r="14" spans="1:6" ht="23" x14ac:dyDescent="0.3">
      <c r="A14" s="123">
        <v>43</v>
      </c>
      <c r="B14" s="124" t="s">
        <v>49</v>
      </c>
      <c r="C14" s="125" t="s">
        <v>95</v>
      </c>
      <c r="D14" s="126" t="s">
        <v>96</v>
      </c>
    </row>
    <row r="15" spans="1:6" x14ac:dyDescent="0.3">
      <c r="A15" s="128">
        <v>44</v>
      </c>
      <c r="B15" s="1" t="s">
        <v>49</v>
      </c>
      <c r="C15" s="2" t="s">
        <v>98</v>
      </c>
      <c r="D15" s="3" t="s">
        <v>32</v>
      </c>
    </row>
    <row r="18" spans="1:4" x14ac:dyDescent="0.3">
      <c r="A18" t="s">
        <v>424</v>
      </c>
    </row>
    <row r="19" spans="1:4" ht="14.5" thickBot="1" x14ac:dyDescent="0.35"/>
    <row r="20" spans="1:4" ht="18.5" x14ac:dyDescent="0.3">
      <c r="A20" s="122" t="s">
        <v>0</v>
      </c>
      <c r="B20" s="88" t="s">
        <v>1</v>
      </c>
      <c r="C20" s="88" t="s">
        <v>2</v>
      </c>
      <c r="D20" s="89" t="s">
        <v>3</v>
      </c>
    </row>
    <row r="21" spans="1:4" x14ac:dyDescent="0.3">
      <c r="A21" s="123">
        <v>8</v>
      </c>
      <c r="B21" s="124" t="s">
        <v>49</v>
      </c>
      <c r="C21" s="125" t="s">
        <v>50</v>
      </c>
      <c r="D21" s="126" t="s">
        <v>51</v>
      </c>
    </row>
    <row r="22" spans="1:4" x14ac:dyDescent="0.3">
      <c r="A22" s="128">
        <v>6</v>
      </c>
      <c r="B22" s="1" t="s">
        <v>49</v>
      </c>
      <c r="C22" s="2" t="s">
        <v>54</v>
      </c>
      <c r="D22" s="3" t="s">
        <v>55</v>
      </c>
    </row>
  </sheetData>
  <pageMargins left="0.7" right="0.7" top="0.75" bottom="0.75"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العقود المنتهية</vt:lpstr>
      <vt:lpstr>وضع اليد</vt:lpstr>
      <vt:lpstr>لدى القانونية</vt:lpstr>
      <vt:lpstr>خطابات 2026</vt:lpstr>
      <vt:lpstr>محضر معاينة السهيمي</vt:lpstr>
      <vt:lpstr>وضع اليد - ملاحظات اجتماع 22-9-</vt:lpstr>
      <vt:lpstr>إجتماع مع القانونية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 Zakan</dc:creator>
  <cp:lastModifiedBy>Ahmed M. Zakan</cp:lastModifiedBy>
  <cp:lastPrinted>2026-09-15T09:31:03Z</cp:lastPrinted>
  <dcterms:created xsi:type="dcterms:W3CDTF">2026-08-24T05:28:12Z</dcterms:created>
  <dcterms:modified xsi:type="dcterms:W3CDTF">2026-10-18T07:03:12Z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cloreClassification">
    <vt:lpwstr>{"SAR Production PS (fd7522308546195fa6e7dc2159bd7864816f43ae)":{"ClassificationDisplayName":"Public","ClassificationMode":"ClassificationMode_UserDriven","LabelId":"5","Version":"1"}}</vt:lpwstr>
  </property>
  <property fmtid="{D5CDD505-2E9C-101B-9397-08002B2CF9AE}" pid="3" name="SecloreClassificationDisplayName_fd7522308546195fa6e7dc2159bd7864816f43ae">
    <vt:lpwstr>Public</vt:lpwstr>
  </property>
</Properties>
</file>